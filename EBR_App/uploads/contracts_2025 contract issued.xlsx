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polarisbanklimited-my.sharepoint.com/personal/ddada2_polarisbanklimited_com/Documents/"/>
    </mc:Choice>
  </mc:AlternateContent>
  <xr:revisionPtr revIDLastSave="0" documentId="8_{445FA0DA-BCBC-4DD3-BBB0-B83CD97FEEF1}" xr6:coauthVersionLast="47" xr6:coauthVersionMax="47" xr10:uidLastSave="{00000000-0000-0000-0000-000000000000}"/>
  <bookViews>
    <workbookView xWindow="28680" yWindow="-120" windowWidth="19440" windowHeight="10440" firstSheet="3" activeTab="3" xr2:uid="{00000000-000D-0000-FFFF-FFFF00000000}"/>
  </bookViews>
  <sheets>
    <sheet name="January 2025" sheetId="1" r:id="rId1"/>
    <sheet name="February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August 2025" sheetId="8" r:id="rId8"/>
    <sheet name="September 2025" sheetId="9" r:id="rId9"/>
    <sheet name="October 2025" sheetId="10" r:id="rId10"/>
    <sheet name="November 2025" sheetId="11" r:id="rId11"/>
    <sheet name="December 2025" sheetId="12" r:id="rId12"/>
    <sheet name="January 2026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8" l="1"/>
  <c r="J24" i="8"/>
  <c r="K14" i="7"/>
  <c r="J29" i="5"/>
  <c r="J25" i="6"/>
  <c r="G35" i="6"/>
  <c r="G37" i="6"/>
  <c r="J41" i="1"/>
  <c r="J40" i="1"/>
  <c r="J34" i="1"/>
  <c r="J32" i="1"/>
  <c r="J33" i="1"/>
  <c r="J35" i="1"/>
  <c r="J36" i="1"/>
  <c r="J37" i="1"/>
  <c r="J31" i="1"/>
</calcChain>
</file>

<file path=xl/sharedStrings.xml><?xml version="1.0" encoding="utf-8"?>
<sst xmlns="http://schemas.openxmlformats.org/spreadsheetml/2006/main" count="2068" uniqueCount="1177">
  <si>
    <t>S/N</t>
  </si>
  <si>
    <t>LPO ISSUED DATE</t>
  </si>
  <si>
    <t>LPO DELIVERY DATE</t>
  </si>
  <si>
    <t>LPO NUMBER</t>
  </si>
  <si>
    <t>BENEFICIARY (STAFF/BRANCH/DEPT)</t>
  </si>
  <si>
    <t>ITEM DESCRIPTION</t>
  </si>
  <si>
    <t>VENDOR</t>
  </si>
  <si>
    <t>Qty</t>
  </si>
  <si>
    <t>NEW UNIT PRICE ₦
VAT INCLUSIVE</t>
  </si>
  <si>
    <t xml:space="preserve"> TOTAL PRICE ₦
VAT INCLUSIVE</t>
  </si>
  <si>
    <t>LPO Number: EBR2024/LPO10111034</t>
  </si>
  <si>
    <t>Three Locations</t>
  </si>
  <si>
    <t>SUPPLY OF THREE(3) HP LASERJET PRO M255DW</t>
  </si>
  <si>
    <t>IT Connect</t>
  </si>
  <si>
    <t>LPO Number: EBR2024/LPO10111035</t>
  </si>
  <si>
    <t>Domestic Operation</t>
  </si>
  <si>
    <t>SUPPLY OF ONE (1) UNIT OF HP LASERJET M611DN PRINTER</t>
  </si>
  <si>
    <t>Arit of Africa</t>
  </si>
  <si>
    <t>14/01/2025</t>
  </si>
  <si>
    <t>LPO Number: EBR2024/LPO10111036</t>
  </si>
  <si>
    <t>Bishop Oluwole</t>
  </si>
  <si>
    <t>SUPPLY AND INSTALLATION OF 150AH INVERTER BATTERY</t>
  </si>
  <si>
    <t>Simba</t>
  </si>
  <si>
    <t>LPO Number: EBR2024/LPO10111037</t>
  </si>
  <si>
    <t>Maidiguri Branch</t>
  </si>
  <si>
    <t>SUPPLY OF DERMALOG LF10 BVN MACHINE</t>
  </si>
  <si>
    <t>Chams Access</t>
  </si>
  <si>
    <t>LPO Number: EBR2024/LPO10111038</t>
  </si>
  <si>
    <t>17/01/2025</t>
  </si>
  <si>
    <t>27/01/2025</t>
  </si>
  <si>
    <t>LPO Number: EBR2024/LPO10111039</t>
  </si>
  <si>
    <t>Polaris Bank</t>
  </si>
  <si>
    <t>DEGAUSSING, SHREDDING AND DISPOSAL OF SENSITIVE DATA CONTAINING HARD DRIVES (HDDS</t>
  </si>
  <si>
    <t>E-Terra</t>
  </si>
  <si>
    <t>LOT</t>
  </si>
  <si>
    <t>20/01/2025</t>
  </si>
  <si>
    <t>LPO Number: EBR2024/LPO10111040</t>
  </si>
  <si>
    <t>Five Locations</t>
  </si>
  <si>
    <t>SUPPLY OF SEVENTY NINE (79) UNITS OF 150AH INVERTER BATTERIES.</t>
  </si>
  <si>
    <t>Inlaks Computer Limited</t>
  </si>
  <si>
    <t>LPO Number: EBR2024/LPO10111041</t>
  </si>
  <si>
    <t>Two Locations</t>
  </si>
  <si>
    <t>SUPPLY OF 200AH INVERTER BATTERIES.</t>
  </si>
  <si>
    <t>Structured Energy</t>
  </si>
  <si>
    <t>LPO Number: EBR2024/LPO10111042</t>
  </si>
  <si>
    <t>Fatai Atere</t>
  </si>
  <si>
    <t>SUPPLY OF CISCO 9200 (24-PORT PoE) SWITCH.</t>
  </si>
  <si>
    <t>Blueprint Business Tech</t>
  </si>
  <si>
    <t>16/01/2025</t>
  </si>
  <si>
    <t>31/01/2025</t>
  </si>
  <si>
    <t>LPO Number: EBR2024/LPO10111043</t>
  </si>
  <si>
    <t xml:space="preserve">SUPPLY OF SFP (SMALL FORM FACTOR PLUGGABLE MODULES) TRANSCEIVERS. </t>
  </si>
  <si>
    <t>Aredap Consult</t>
  </si>
  <si>
    <t>N/A</t>
  </si>
  <si>
    <t>LPO Number: EBR2024/LPO10111044</t>
  </si>
  <si>
    <t>SUPPLY OF CORPORATE AND INDIVIDUAL CHEQUE BOOKS.</t>
  </si>
  <si>
    <t xml:space="preserve">Superflux </t>
  </si>
  <si>
    <t>24/01/2024</t>
  </si>
  <si>
    <t>LPO Number: EBR2024/LPO10111045</t>
  </si>
  <si>
    <t>Gombe Branch</t>
  </si>
  <si>
    <t>21/01/2025</t>
  </si>
  <si>
    <t>LPO Number: EBR2024/LPO10111046</t>
  </si>
  <si>
    <t>Executive Office</t>
  </si>
  <si>
    <t xml:space="preserve">SUPPLY OF 2HP PANASONIC INVERTER AIR CONDITIONERS </t>
  </si>
  <si>
    <t>Panaserve Nigeria Limited</t>
  </si>
  <si>
    <t xml:space="preserve">1HP SUPPLY OF PANASONIC INVERTER AIR CONDITIONERS </t>
  </si>
  <si>
    <t>LPO Number: EBR2024/LPO10111047</t>
  </si>
  <si>
    <t>IMPLEMENTATION OF RADWARE ON-DEMAND CLOUD DDOS PROTECTION SERVICE - UP TO LEGITIMATE 100MB</t>
  </si>
  <si>
    <t>Rhema Tech</t>
  </si>
  <si>
    <t>Lot</t>
  </si>
  <si>
    <t>23/01/2025</t>
  </si>
  <si>
    <t>LPO Number: EBR2024/LPO10111048</t>
  </si>
  <si>
    <t>Various Location</t>
  </si>
  <si>
    <t>SUPPLY OF OFFICE FURNITURE</t>
  </si>
  <si>
    <t>Supreme Source</t>
  </si>
  <si>
    <t>LPO Number: EBR2024/LPO10111049</t>
  </si>
  <si>
    <t>Calabar II Branch</t>
  </si>
  <si>
    <t xml:space="preserve">SUPPLY OF VISITOR’S CHAIRS </t>
  </si>
  <si>
    <t>Chair Center</t>
  </si>
  <si>
    <t>26/01/2025</t>
  </si>
  <si>
    <t>LPO Number: EBR2024/LPO10111050</t>
  </si>
  <si>
    <t>INSTALLATION AND REVAMP OF NEW LOCAL AREA NETWORK (LAN) POINT AND CENTRAL UPS POINTS.</t>
  </si>
  <si>
    <t>Shieldtech</t>
  </si>
  <si>
    <t>LPO Number: EBR2024/LPO10111051</t>
  </si>
  <si>
    <t>INSTALLATION AND REVAMP OF NEW LOCAL AREA NETWORK (LAN) POINT</t>
  </si>
  <si>
    <t>Henro Network</t>
  </si>
  <si>
    <t>LPO Number: EBR2024/LPO10111052</t>
  </si>
  <si>
    <t>SFO Technology</t>
  </si>
  <si>
    <t>LPO Number: EBR2024/LPO10111053</t>
  </si>
  <si>
    <t>Accelerated Network</t>
  </si>
  <si>
    <t>LPO Number: EBR2024/LPO10111054</t>
  </si>
  <si>
    <t>ITMS</t>
  </si>
  <si>
    <t>24/01/2025</t>
  </si>
  <si>
    <t>LPO Number: EBR2024/LPO10111055</t>
  </si>
  <si>
    <t>Central Store</t>
  </si>
  <si>
    <t>SUPPLY OF PRE-PRINTED STATIONERY</t>
  </si>
  <si>
    <t xml:space="preserve">I-GAF </t>
  </si>
  <si>
    <t>LPO Number: EBR2024/LPO10111056</t>
  </si>
  <si>
    <t>TEEFAG</t>
  </si>
  <si>
    <t>LPO Number: EBR2024/LPO10111057</t>
  </si>
  <si>
    <t>ADESOLA PRINTS</t>
  </si>
  <si>
    <t>13/2/2025</t>
  </si>
  <si>
    <t>LPO Number: EBR2024/LPO10111058</t>
  </si>
  <si>
    <t>DAPSON RENNY</t>
  </si>
  <si>
    <t>LPO Number: EBR2024/LPO10111059</t>
  </si>
  <si>
    <t>OLU POPSON</t>
  </si>
  <si>
    <t>LPO Number: EBR2024/LPO10111060</t>
  </si>
  <si>
    <t>DASSTILLAN</t>
  </si>
  <si>
    <t>28/01/2025</t>
  </si>
  <si>
    <t>25/03/2025</t>
  </si>
  <si>
    <t>LPO Number: EBR2024/LPO10111061</t>
  </si>
  <si>
    <t>Kazaure Branch</t>
  </si>
  <si>
    <t>LPO Number: EBR2024/LPO10111062</t>
  </si>
  <si>
    <t>SUPPLY OF CONSUMABLES.</t>
  </si>
  <si>
    <t>Olanrewaju &amp;  Co.</t>
  </si>
  <si>
    <t>LPO Number: EBR2024/LPO10111063</t>
  </si>
  <si>
    <t>Wahbco</t>
  </si>
  <si>
    <t>LPO Number: EBR2024/LPO10111064</t>
  </si>
  <si>
    <t>SUPPLY OF ENVELOPES</t>
  </si>
  <si>
    <t>FAE</t>
  </si>
  <si>
    <t>LPO Number: EBR2024/LPO10111065</t>
  </si>
  <si>
    <t>Supply of Cash Bags</t>
  </si>
  <si>
    <t>Peegan</t>
  </si>
  <si>
    <t>LPO Number: EBR2024/LPO10111066</t>
  </si>
  <si>
    <t>Mopvesol</t>
  </si>
  <si>
    <t>LPO Number: EBR2024/LPO10111067</t>
  </si>
  <si>
    <t>Tomodek</t>
  </si>
  <si>
    <t>LPO Number: EBR2024/LPO10111068</t>
  </si>
  <si>
    <t>Jamotex</t>
  </si>
  <si>
    <t>LPO Number: EBR2024/LPO10111069</t>
  </si>
  <si>
    <t>Laboye</t>
  </si>
  <si>
    <t>LPO Number: EBR2024/LPO10111070</t>
  </si>
  <si>
    <t>Supply of Handwash</t>
  </si>
  <si>
    <t>Apt Technical Services</t>
  </si>
  <si>
    <t>LPO Number: EBR2024/LPO10111071</t>
  </si>
  <si>
    <t xml:space="preserve">Teetwyce </t>
  </si>
  <si>
    <t>27/03/2025</t>
  </si>
  <si>
    <t>LPO Number: EBR2024/LPO10111072</t>
  </si>
  <si>
    <t>Olu-Obasanjo</t>
  </si>
  <si>
    <t>Quantity</t>
  </si>
  <si>
    <t>LPO Number: EBR2024/LPO10111073</t>
  </si>
  <si>
    <t>UPGRADE OF E­TOKEN APP WITH CODE OBFUSCATION SECURITY FEATURES</t>
  </si>
  <si>
    <t>Maxut</t>
  </si>
  <si>
    <t>LPO Number: EBR2024/LPO10111074</t>
  </si>
  <si>
    <t>SUPPLY OF FIVE (5) UNITS OF ERGONOMIC MANAGER’S CHAIRS</t>
  </si>
  <si>
    <t>Home and You</t>
  </si>
  <si>
    <t>LPO Number: EBR2024/LPO10111075</t>
  </si>
  <si>
    <t>Admiralty Branch</t>
  </si>
  <si>
    <t>SUPPLY OF ONE (1) UNIT OF ERGONOMIC MANAGER’S CHAIR</t>
  </si>
  <si>
    <t>LPO Number: EBR2024/LPO10111076</t>
  </si>
  <si>
    <t>Training School</t>
  </si>
  <si>
    <t xml:space="preserve">SUPPLY OF PANASONIC INVERTER AIR CONDITIONER </t>
  </si>
  <si>
    <t>LPO Number: EBR2024/LPO10111077</t>
  </si>
  <si>
    <t>SUPPLY OF TOILET PAPERS</t>
  </si>
  <si>
    <t>First Debotos</t>
  </si>
  <si>
    <t>LPO Number: EBR2024/LPO10111078</t>
  </si>
  <si>
    <t>Adeniran Ogunsanya</t>
  </si>
  <si>
    <t>LPO Number: EBR2024/LPO10111079</t>
  </si>
  <si>
    <t>Bida Branch</t>
  </si>
  <si>
    <t>SUPPLY OF ONE (1) UNIT OF BVN CAMERA</t>
  </si>
  <si>
    <t>LPO Number: EBR2024/LPO10111080</t>
  </si>
  <si>
    <t>Agodi &amp; Benin Branch</t>
  </si>
  <si>
    <t>SUPPLY OF FORTY (40) UNITS OF 7AH INVERTER BATTERIES.</t>
  </si>
  <si>
    <t>20/02/2025</t>
  </si>
  <si>
    <t>LPO Number: EBR2024/LPO10111081</t>
  </si>
  <si>
    <t>NEW E­TOKEN LICENCE UPLOAD</t>
  </si>
  <si>
    <t>19/02/2025</t>
  </si>
  <si>
    <t>21/02/2025</t>
  </si>
  <si>
    <t>LPO Number: EBR2024/LPO10111082</t>
  </si>
  <si>
    <t>Abuja Main</t>
  </si>
  <si>
    <t>SUPPLY OF ONE UNIT OF HP LASERJET PRO M404DW PRINTER </t>
  </si>
  <si>
    <t>LPO Number: EBR2024/LPO10111083</t>
  </si>
  <si>
    <t>SUPPLY OF ONE UNIT OF HP PROBOOK 440 G10 LAPTOP</t>
  </si>
  <si>
    <t>LPO Number: EBR2024/LPO10111084</t>
  </si>
  <si>
    <t>SUPPLY OF MP60KVA SOUNDPROOF PERKINS GENERATOR</t>
  </si>
  <si>
    <t>Sentec Ltd</t>
  </si>
  <si>
    <t>LPO Number: EBR2024/LPO10111085</t>
  </si>
  <si>
    <t>External Audit</t>
  </si>
  <si>
    <t>SUPPLY OF TEN (10) UNITS OF ERGONOMIC MANAGER’S CHAIR</t>
  </si>
  <si>
    <t>LPO Number: EBR2024/LPO10111086</t>
  </si>
  <si>
    <t>IMPLEMENTATION FOR MISSING EMVTAG84 ON MASTERCARD TRANSACTIONS.</t>
  </si>
  <si>
    <t>Interswitch Limited</t>
  </si>
  <si>
    <t>LPO Number: EBR2024/LPO10111087</t>
  </si>
  <si>
    <t>Non-Executive Office</t>
  </si>
  <si>
    <t>Various</t>
  </si>
  <si>
    <t>LPO Number: EBR2024/LPO10111088</t>
  </si>
  <si>
    <t>Maitama Regional Office</t>
  </si>
  <si>
    <t>SUPPLY AND INSTALLATION OF ROLLER BLINDS AT MAITAMA REGIONAL OFFICE</t>
  </si>
  <si>
    <t>St. Victurus</t>
  </si>
  <si>
    <t>LPO Number: EBR2024/LPO10111089</t>
  </si>
  <si>
    <t>BDM Admiralty Branch</t>
  </si>
  <si>
    <t>SUPPLY OF TWO (2) UNITS OF ERGONOMIC MANAGER’S CHAIRS</t>
  </si>
  <si>
    <t>LPO Number: EBR2024/LPO10111090</t>
  </si>
  <si>
    <t>Sokoto Main Branch</t>
  </si>
  <si>
    <t xml:space="preserve">LPO Number: EBR2025/LPO10111091                                    </t>
  </si>
  <si>
    <t>DH, Lagos Island Region</t>
  </si>
  <si>
    <t>The Chair Center</t>
  </si>
  <si>
    <t>LPO Number: EBR2025/LPO10111092</t>
  </si>
  <si>
    <t>BDM Ikota Shopping Comple</t>
  </si>
  <si>
    <t>SUPPLY OF ONE UNIT OF HP PROBOOK 440 G10 LAPTOP</t>
  </si>
  <si>
    <t>Westgate Tech Ltd.</t>
  </si>
  <si>
    <t>LPO Number: EBR2025/LPO10111093</t>
  </si>
  <si>
    <t>LPO Number: EBR2025/LPO10111094</t>
  </si>
  <si>
    <t>LPO Number: EBR2025/LPO10111095</t>
  </si>
  <si>
    <t>LPO Number: EBR2025/LPO10111096</t>
  </si>
  <si>
    <t>LPO Number: EBR2025/LPO10111097</t>
  </si>
  <si>
    <t>LPO Number: EBR2025/LPO10111098</t>
  </si>
  <si>
    <t>IMPLEMENTATION OF A MODIFICATION ON THE FLIP-CENTRAL APPLICATION ON MICR CHEQUE REJECTS</t>
  </si>
  <si>
    <t>International Business |System</t>
  </si>
  <si>
    <t>LPO Number: EBR2025/LPO10111099</t>
  </si>
  <si>
    <t>SUPPLY OF HP USB MOUSE AND HP USB KEYBOARD</t>
  </si>
  <si>
    <t>Joshdan Nig. Ltd.</t>
  </si>
  <si>
    <t>50,20</t>
  </si>
  <si>
    <t>7,500
10,500</t>
  </si>
  <si>
    <t>LPO Number: EBR2025/LPO10111100</t>
  </si>
  <si>
    <t>E-Service Form</t>
  </si>
  <si>
    <t>Teefag</t>
  </si>
  <si>
    <t>LPO Number: EBR2025/LPO10111101</t>
  </si>
  <si>
    <t>A4 Paper</t>
  </si>
  <si>
    <t>Laboye Integrated</t>
  </si>
  <si>
    <t>LPO Number: EBR2025/LPO10111102</t>
  </si>
  <si>
    <t>Cway Water Dispenser</t>
  </si>
  <si>
    <t>Cobbikonsult</t>
  </si>
  <si>
    <t>LPO Number: EBR2025/LPO10111103</t>
  </si>
  <si>
    <t>Polaris House Alausa</t>
  </si>
  <si>
    <t>SUPPLY OF 1.5HP KENSTER ENERGY SAVING AIR CONDITIONERS</t>
  </si>
  <si>
    <t>Arcadia 25 Solution</t>
  </si>
  <si>
    <t>LPO Number: EBR2025/LPO10111104</t>
  </si>
  <si>
    <t>Sapele Road Branch</t>
  </si>
  <si>
    <t>SUPPLY OF ONE (1) UNIT OF DERMALOG LF10 BVN MACHINE</t>
  </si>
  <si>
    <t>Chams Access limited</t>
  </si>
  <si>
    <t>LPO Number: EBR2025/LPO10111105</t>
  </si>
  <si>
    <t>SUPPLY OF ONE UNIT OF CANON LIDE 400-FLATBED SCANNER</t>
  </si>
  <si>
    <t>LPO Number: EBR2025/LPO10111106</t>
  </si>
  <si>
    <t>Station Rd Branch</t>
  </si>
  <si>
    <t>SUPPLY OF TWELVE (12) UNITS OF 200AH INVERTER BATTERIES.</t>
  </si>
  <si>
    <t>Inlaks</t>
  </si>
  <si>
    <t>LPO Number: EBR2025/LPO10111107</t>
  </si>
  <si>
    <t>SUPPLY OF INSTANT CARD RIBBON - WHITE.</t>
  </si>
  <si>
    <t>Pajuno Development co. Ltd</t>
  </si>
  <si>
    <t>LPO Number: EBR2025/LPO10111108</t>
  </si>
  <si>
    <t>PROVISION OF DATA PROTECTION COMPLIANCE AND CYBER SECURITY TRAINING SERVICES.</t>
  </si>
  <si>
    <t>KPMG</t>
  </si>
  <si>
    <t>LPO Number: EBR2025/LPO10111109</t>
  </si>
  <si>
    <t>TECHNICAL MIGRATION PARTNER FOR CORE BANKING APPLICATION &amp; DATABASE UPGRADE PROJECT.</t>
  </si>
  <si>
    <t>Holmen Technologies</t>
  </si>
  <si>
    <t>LPO Number: EBR2025/LPO10111110</t>
  </si>
  <si>
    <t>QUALITY ASSURANCE &amp; TESTING FOR CORE BANKING APPLICATION &amp; DATABASE UPGRADE PROJECT.</t>
  </si>
  <si>
    <t>Hyperion Global Service</t>
  </si>
  <si>
    <t>LPO Number: EBR2025/LPO10111111</t>
  </si>
  <si>
    <t>PROVISION OF COMPREHENSIVE TECHNOLOGY ASSESSMENT (SECURITY AND COMPLIANCE PHASE)</t>
  </si>
  <si>
    <t>BRA Limited</t>
  </si>
  <si>
    <t>LPO Number: EBR2025/LPO10111112</t>
  </si>
  <si>
    <t>Public Sector</t>
  </si>
  <si>
    <t>SUPPLY OF 1.5HP KENSTER INVERTER AIR CONDITIONER</t>
  </si>
  <si>
    <t>Panaserve</t>
  </si>
  <si>
    <t>LPO Number: EBR2025/LPO10111113</t>
  </si>
  <si>
    <t>BDM Ikota Shopping Complex</t>
  </si>
  <si>
    <t xml:space="preserve">SUPPLY OF ONE (1) UNIT OF HP ELITEBOOK 830 CORE i5  LAPTOP </t>
  </si>
  <si>
    <t>Allied Computer</t>
  </si>
  <si>
    <t>LPO Number: EBR2025/LPO10111114</t>
  </si>
  <si>
    <t>Gwarinpa Branch</t>
  </si>
  <si>
    <t>LPO Number: EBR2025/LPO10111115</t>
  </si>
  <si>
    <t>Mararaba Branch</t>
  </si>
  <si>
    <t>SUPPLY OF FOUR (4) UNITS OF 7AH INVERTER BATTERIES.</t>
  </si>
  <si>
    <t>Inlaks Comp. limited</t>
  </si>
  <si>
    <t>LPO Number: EBR2025/LPO10111116</t>
  </si>
  <si>
    <t>DH, Lagos Island</t>
  </si>
  <si>
    <t>LPO Number: EBR2025/LPO10111117</t>
  </si>
  <si>
    <t>LPO Number: EBR2025/LPO10111118</t>
  </si>
  <si>
    <t xml:space="preserve">SUPPLY OF ONE UNIT OF HP LASERJET PRINTER </t>
  </si>
  <si>
    <t>IT connect</t>
  </si>
  <si>
    <t>LPO Number: EBR2025/LPO10111119</t>
  </si>
  <si>
    <t>BDM, Osapa London</t>
  </si>
  <si>
    <t>LPO Number: EBR2025/LPO10111120</t>
  </si>
  <si>
    <t>SUPPLY OF TELLER RECEIPT PRINTER.</t>
  </si>
  <si>
    <t>Dalex</t>
  </si>
  <si>
    <t>LPO Number: EBR2025/LPO10111121</t>
  </si>
  <si>
    <t>Egbe Road Branch</t>
  </si>
  <si>
    <t>SUPPLY OF ONE (1) UNIT OF DERMALOG ZF1 MACHINE</t>
  </si>
  <si>
    <t>LPO Number: EBR2025/LPO10111122</t>
  </si>
  <si>
    <t>ATM Park Inn Hotel</t>
  </si>
  <si>
    <t>SUPPLY OF FOUR (4) UNITS OF 18AH INVERTER BATTERIES.</t>
  </si>
  <si>
    <t>LPO Number: EBR2025/LPO10111123</t>
  </si>
  <si>
    <t>IMPLEMENTATION OF EXTENSIBLE BUSINESS REPORTING LANGUAGE.</t>
  </si>
  <si>
    <t>Opex COnsulting</t>
  </si>
  <si>
    <t>LPO Number: EBR2025/LPO10111124</t>
  </si>
  <si>
    <t>Treasury Department</t>
  </si>
  <si>
    <t>SUPPLY OF DELL WORKSTATION AND HP PROBOOK LAPTOP COMPUTER SYSTEM.</t>
  </si>
  <si>
    <t>LPO Number: EBR2025/LPO10111125</t>
  </si>
  <si>
    <t>Non Executive Office</t>
  </si>
  <si>
    <t>SUPPLY OF 1 UNIT OF UPRIGHT REFRIGERATOR (SHOWCASE CHILLER)</t>
  </si>
  <si>
    <t>LPO Number: EBR2025/LPO10111126</t>
  </si>
  <si>
    <t>SUPPLY OF 1 UNIT OF 43’ SMART TV</t>
  </si>
  <si>
    <t>LPO Number: EBR2025/LPO10111127</t>
  </si>
  <si>
    <t>Akin Adesola</t>
  </si>
  <si>
    <t xml:space="preserve">SUPPLY OF 1HP KENSTER INVERTER AIR CONDITIONER </t>
  </si>
  <si>
    <t>LPO Number: EBR2025/LPO10111128</t>
  </si>
  <si>
    <t>Enugu Main</t>
  </si>
  <si>
    <t>SUPPLY OF FORTY (40) UNITS OF 7AH UPS BATTERIES.</t>
  </si>
  <si>
    <t>LPO Number: EBR2025/LPO10111129</t>
  </si>
  <si>
    <t>Ikpoba Slobe</t>
  </si>
  <si>
    <t>SUPPLY OF ONE (1) UNIT OF DERMALOG MF10 MACHINE AND ONE (1) UNIT OF BVN CAMERA</t>
  </si>
  <si>
    <t>1,1</t>
  </si>
  <si>
    <t>LPO Number: EBR2025/LPO10111130</t>
  </si>
  <si>
    <t>Warehouse Branch</t>
  </si>
  <si>
    <t>SUPPLY OF THREE (3) UNITS OF HP LASERJET PRINTER </t>
  </si>
  <si>
    <t>LPO Number: EBR2025/LPO10111131</t>
  </si>
  <si>
    <t>SUPPLY OF ONE (1) UNIT OF HP ELITEBOOK LAPTOP COMPUTER</t>
  </si>
  <si>
    <t>LPO Number: EBR2025/LPO10111132</t>
  </si>
  <si>
    <t>SUPPLY OF 100 LITERS REFRIGERATOR</t>
  </si>
  <si>
    <t>LPO Number: EBR2025/LPO10111133</t>
  </si>
  <si>
    <t>SUPPLY OF 1000 UNITS OF HARDWARE TOKENS 2FA AND LICENCES FOR POLARIS BANK DIGITAL PLATFORMS</t>
  </si>
  <si>
    <t>MAXUT</t>
  </si>
  <si>
    <t>LPO Number: EBR2025/LPO10111134</t>
  </si>
  <si>
    <t>Central store</t>
  </si>
  <si>
    <t>SUPPLY OF A4 PAPER</t>
  </si>
  <si>
    <t>LPO Number: EBR2025/LPO10111135</t>
  </si>
  <si>
    <t>SUPPLY OF CASH BAGS</t>
  </si>
  <si>
    <t>LPO Number: EBR2025/LPO10111136</t>
  </si>
  <si>
    <t>LPO Number: EBR2025/LPO10111137</t>
  </si>
  <si>
    <t>SUPPLY OF CONSUMABLES</t>
  </si>
  <si>
    <t>Fehjohnmos</t>
  </si>
  <si>
    <t>LPO Number: EBR2025/LPO10111138</t>
  </si>
  <si>
    <t>Qahy Merchant</t>
  </si>
  <si>
    <t>LPO Number: EBR2025/LPO10111139</t>
  </si>
  <si>
    <t>Beluna Global Resources</t>
  </si>
  <si>
    <t>LPO Number: EBR2025/LPO10111140</t>
  </si>
  <si>
    <t>De-Kemmar</t>
  </si>
  <si>
    <t>LPO Number: EBR2025/LPO10111141</t>
  </si>
  <si>
    <t>LPO Number: EBR2025/LPO10111142</t>
  </si>
  <si>
    <t>SUPPLY OF CONSUMABLE ITEMS</t>
  </si>
  <si>
    <t>LPO Number: EBR2025/LPO10111143</t>
  </si>
  <si>
    <t>Joshdan</t>
  </si>
  <si>
    <t>LPO Number: EBR2025/LPO10111144</t>
  </si>
  <si>
    <t>Olanrewaju &amp; Co.</t>
  </si>
  <si>
    <t>LPO Number: EBR2025/LPO10111145</t>
  </si>
  <si>
    <t>SUPPLY OF HAND WASH.</t>
  </si>
  <si>
    <t>Comaken</t>
  </si>
  <si>
    <t>LPO Number: EBR2025/LPO10111146</t>
  </si>
  <si>
    <t>SUPPLY OF CANNISTER AIRFRESHNER.</t>
  </si>
  <si>
    <t>LPO Number: EBR2025/LPO10111147</t>
  </si>
  <si>
    <t>SUPPLY OF THERMAL ROLL PAPER.</t>
  </si>
  <si>
    <t>Smart Render</t>
  </si>
  <si>
    <t>LOt</t>
  </si>
  <si>
    <t>LPO Number: EBR2025/LPO10111148</t>
  </si>
  <si>
    <t>SUPPLY OF THREE (3)  UNITS OF CANON LIDE 400-FLATBED SCANNER</t>
  </si>
  <si>
    <t>Westgate Technoilogy</t>
  </si>
  <si>
    <t>LPO Number: EBR2025/LPO10111149</t>
  </si>
  <si>
    <t>SUPPLY OF WATER DISPENSER MACHINE (CWAY)</t>
  </si>
  <si>
    <t>LPO Number: EBR2025/LPO10111150</t>
  </si>
  <si>
    <t>Epe Branch</t>
  </si>
  <si>
    <t>LPO Number: EBR2025/LPO10111151</t>
  </si>
  <si>
    <t>First Avenue</t>
  </si>
  <si>
    <t>LPO Number: EBR2025/LPO10111152</t>
  </si>
  <si>
    <t>CSO's Office</t>
  </si>
  <si>
    <t>LPO Number: EBR2025/LPO10111153</t>
  </si>
  <si>
    <t>IMPLEMENTATION OF IFRS 9 EXPECTED CREDIT LOSS (ECL) CALCULATION ENGINE AND EFFECTIVE INTEREST RATE (EIR) MODULE.</t>
  </si>
  <si>
    <t>Fintrak Software</t>
  </si>
  <si>
    <t>LPO Number: EBR2025/LPO10111154</t>
  </si>
  <si>
    <t>SUPPLY OF NOTEWRAPPERS</t>
  </si>
  <si>
    <t>Adesola Prints</t>
  </si>
  <si>
    <t>LPO Number: EBR2025/LPO10111155</t>
  </si>
  <si>
    <t>SUPPLY OF PREPRINTED STATIONERY</t>
  </si>
  <si>
    <t>LPO Number: EBR2025/LPO10111156</t>
  </si>
  <si>
    <t>Igaf</t>
  </si>
  <si>
    <t>LPO Number: EBR2025/LPO10111157</t>
  </si>
  <si>
    <t>SUPPLY OF 32 INCHES HISENSE TV SET</t>
  </si>
  <si>
    <t>cobbikonsult</t>
  </si>
  <si>
    <t>LPO Number: EBR2025/LPO10111158</t>
  </si>
  <si>
    <t>Lugbe Branch</t>
  </si>
  <si>
    <t xml:space="preserve">SUPPLY OF 1.5HP DAIKINS SPLIT INVERTER AND 3HP PANASONIC STANDING AIR CONDITIONERS </t>
  </si>
  <si>
    <t>LPO Number: EBR2025/LPO10111159</t>
  </si>
  <si>
    <t>PROCUREMENT OF POOL VEHICLES</t>
  </si>
  <si>
    <t>Mikano</t>
  </si>
  <si>
    <t>LPO Number: EBR2025/LPO10111160</t>
  </si>
  <si>
    <t>REVAMP OF LOCAL AREA NETWORK.</t>
  </si>
  <si>
    <t>O Tishe</t>
  </si>
  <si>
    <t>LPO Number: EBR2025/LPO10111161</t>
  </si>
  <si>
    <t>REVAMP OF LOCAL AREA NETWORK AND CENTRAL UPS POINTS.</t>
  </si>
  <si>
    <t>Climax and Peak</t>
  </si>
  <si>
    <t>LPO Number: EBR2025/LPO10111162</t>
  </si>
  <si>
    <t>AVIC Link</t>
  </si>
  <si>
    <t>LPO Number: EBR2025/LPO10111163</t>
  </si>
  <si>
    <t>TK Pumping</t>
  </si>
  <si>
    <t>LPO Number: EBR2025/LPO10111164</t>
  </si>
  <si>
    <t>LPO Number: EBR2025/LPO10111165</t>
  </si>
  <si>
    <t>SUPPLY OF ONE UNIT OF HP SCANJET PRO 3000 S4 SCANNER</t>
  </si>
  <si>
    <t>Itconnect</t>
  </si>
  <si>
    <t>LPO Number: EBR2025/LPO10111166</t>
  </si>
  <si>
    <t>LPO Number: EBR2025/LPO10111167</t>
  </si>
  <si>
    <t>SUPPLY OF THIRTY-TWO (32) UNITS OF 7AH UPS BATTERIES.</t>
  </si>
  <si>
    <t>LPO Number: EBR2025/LPO10111168</t>
  </si>
  <si>
    <t>SUPPLY OF ONE (1) UNIT OF 6KVA LITHIUM INVERTER SOLUTIONS</t>
  </si>
  <si>
    <t>LPO Number: EBR2025/LPO10111169</t>
  </si>
  <si>
    <t>SUPPLY OF SEVENTY-SIX (76) UNITS OF 7AH UPS BATTERIES.</t>
  </si>
  <si>
    <t>LPO Number: EBR2025/LPO10111170</t>
  </si>
  <si>
    <t>SUPPLY OF NINETY-TWO (92) UNITS OF 7AH UPS BATTERIES.</t>
  </si>
  <si>
    <t>LPO Number: EBR2025/LPO10111171</t>
  </si>
  <si>
    <t>SUPPLY OF EPSON TM­T20III­001 THERMAL RECEIPT PRINTER</t>
  </si>
  <si>
    <t>Landam</t>
  </si>
  <si>
    <t>LPO Number: EBR2025/LPO10111172</t>
  </si>
  <si>
    <t>LPO Number: EBR2025/LPO10111173</t>
  </si>
  <si>
    <t>The Chair Centre</t>
  </si>
  <si>
    <t>LPO Number: EBR2025/LPO10111174</t>
  </si>
  <si>
    <t>SUPPLY OF TWO (2) UNITs OF DERMALOG BVN SET</t>
  </si>
  <si>
    <t>LPO Number: EBR2025/LPO10111175</t>
  </si>
  <si>
    <t>SUPPLY OF 55 INCHES LG SMART TV</t>
  </si>
  <si>
    <t>LPO Number: EBR2025/LPO10111176</t>
  </si>
  <si>
    <t>LPO Number: EBR2025/LPO10111177</t>
  </si>
  <si>
    <t xml:space="preserve">SUPPLY OF OFFICE FURNITURES </t>
  </si>
  <si>
    <t>Office R'Us</t>
  </si>
  <si>
    <t>LPO Number: EBR2025/LPO10111178</t>
  </si>
  <si>
    <t>SUPPLY OF ONE UNIT OF HP SCANJET PRO 3000 S4 SCANNER.</t>
  </si>
  <si>
    <t>LPO Number: EBR2025/LPO10111179</t>
  </si>
  <si>
    <t>INSTALLATION OF NEW LOCAL AREA NETWORK (LAN) POINT AND CENTRAL UPS POINTS.</t>
  </si>
  <si>
    <t>LPO Number: EBR2025/LPO10111180</t>
  </si>
  <si>
    <t>REVAMP OF LAN AND CENTRAL UPS POINTS.</t>
  </si>
  <si>
    <t>VIBCYP</t>
  </si>
  <si>
    <t>LPO Number: EBR2025/LPO10111181</t>
  </si>
  <si>
    <t>SUPPLY OF TOYOTA LANDCRUISER 2025 MODEL.</t>
  </si>
  <si>
    <t>Give N Take</t>
  </si>
  <si>
    <t>LPO Number: EBR2025/LPO10111182</t>
  </si>
  <si>
    <t>LPO Number: EBR2025/LPO10111183</t>
  </si>
  <si>
    <t>LPO Number: EBR2025/LPO10111184</t>
  </si>
  <si>
    <t>LPO Number: EBR2025/LPO10111185</t>
  </si>
  <si>
    <t>LPO Number: EBR2025/LPO10111186</t>
  </si>
  <si>
    <t>LPO Number: EBR2025/LPO10111187</t>
  </si>
  <si>
    <t>SUPPLY OF MICROWAVE</t>
  </si>
  <si>
    <t>LPO Number: EBR2025/LPO10111188</t>
  </si>
  <si>
    <t>IMPLEMENTATION OF AFRIGO CARD ON ICARD PORTAL</t>
  </si>
  <si>
    <t>LPO Number: EBR2025/LPO10111189</t>
  </si>
  <si>
    <t>pajuno Development</t>
  </si>
  <si>
    <t>LPO Number: EBR2025/LPO10111190</t>
  </si>
  <si>
    <t>SUPPLY OF PRE-PRINTED STATIONERIES.</t>
  </si>
  <si>
    <t>Emotional Expression</t>
  </si>
  <si>
    <t>LPO Number: EBR2025/LPO10111191</t>
  </si>
  <si>
    <t>SUPPLY OF INDIVIDIAL ACCOUNT OPENING FORM.</t>
  </si>
  <si>
    <t>Zacchi &amp; Krome</t>
  </si>
  <si>
    <t>LPO Number: EBR2025/LPO10111192</t>
  </si>
  <si>
    <t>LPO Number: EBR2025/LPO10111193</t>
  </si>
  <si>
    <t>LPO Number: EBR2025/LPO10111194</t>
  </si>
  <si>
    <t>SUPPLY OF THREE (3) UNIT OF 6KVA LITHIUM INVERTER SOLUTIONS</t>
  </si>
  <si>
    <t>NEW UNIT PRICE ₦
VAT EXCLUSIVE</t>
  </si>
  <si>
    <t>COST SAVINGS</t>
  </si>
  <si>
    <t xml:space="preserve"> EBR2025/LPO10111195</t>
  </si>
  <si>
    <t>Enterprise Project Management</t>
  </si>
  <si>
    <t xml:space="preserve">SUPPLY OF HP ELITEBOOK  LAPTOP COMPUTER </t>
  </si>
  <si>
    <t xml:space="preserve">Telvida Int’l Systems Ltd </t>
  </si>
  <si>
    <t>EBR2025/LPO10111196</t>
  </si>
  <si>
    <t>Domestic Operations</t>
  </si>
  <si>
    <t xml:space="preserve">SUPPLY OF HP PROBOOK G10  LAPTOP COMPUTER </t>
  </si>
  <si>
    <t>Edgebase Technologies</t>
  </si>
  <si>
    <t>EBR2025/LPO10111197</t>
  </si>
  <si>
    <t xml:space="preserve">NEW E­TOKEN LICENCE UPLOAD </t>
  </si>
  <si>
    <t>MAXUT Consulting Ltd</t>
  </si>
  <si>
    <t>completed within 90days</t>
  </si>
  <si>
    <t xml:space="preserve">DEPLOYMENT OF ENTERPRISE DIGITAL COMMUNICATION CUSTOMER ENGAGEMENT PLATFORM (CEE) </t>
  </si>
  <si>
    <t>Nextra Cloud Ltd/MoEngage</t>
  </si>
  <si>
    <t>EBR2025/LPO10111198</t>
  </si>
  <si>
    <t>Ikorodu Main Branch</t>
  </si>
  <si>
    <t xml:space="preserve">SUPPLY OF FILING CABINET </t>
  </si>
  <si>
    <t xml:space="preserve">Mac-Evans International Nigeria Ltd </t>
  </si>
  <si>
    <t>EBR2025/LPO10111199</t>
  </si>
  <si>
    <t xml:space="preserve">SUPPLY OF THREE UNITS OF HP LASERJET MFP 4003DW PRINTER  </t>
  </si>
  <si>
    <t>IT Connect Nig</t>
  </si>
  <si>
    <t>EBR2025/LPO10111200</t>
  </si>
  <si>
    <t>SUPPLY OF FOUR UNITS OF CANOSCAN LIDE 400 SCANNER</t>
  </si>
  <si>
    <t>Westgate Technology Ltd</t>
  </si>
  <si>
    <t>EBR2025/LPO10111201</t>
  </si>
  <si>
    <t>SUPPLY OF FOUR (4) UNITS OF RATE BOARD</t>
  </si>
  <si>
    <t xml:space="preserve">Victronics Nigeria Limited </t>
  </si>
  <si>
    <t>EBR2025/LPO10111202</t>
  </si>
  <si>
    <t>SUPPLY OF EPSON RECEIPT PRINTER</t>
  </si>
  <si>
    <t xml:space="preserve">Dalex Company Limited </t>
  </si>
  <si>
    <t>EBR2025/LPO10111203</t>
  </si>
  <si>
    <t xml:space="preserve">Executive Office </t>
  </si>
  <si>
    <t xml:space="preserve">SUPPLY OF NOTE COUNTING MACHINE AND FX VERIFIER </t>
  </si>
  <si>
    <t xml:space="preserve">Arribond Int’l Limited </t>
  </si>
  <si>
    <t>EBR2025/LPO10111204</t>
  </si>
  <si>
    <t>SUPPLY OF WIDMER TIME STAMPING</t>
  </si>
  <si>
    <t xml:space="preserve">Assay Global Resources Ltd </t>
  </si>
  <si>
    <t>EBR2025/LPO10111205</t>
  </si>
  <si>
    <t xml:space="preserve">Ikeja Plaza Branch </t>
  </si>
  <si>
    <t>SUPPLY OF TRUNCATING MACHINE</t>
  </si>
  <si>
    <t>International Business Systems Nig. Ltd</t>
  </si>
  <si>
    <t>EBR2025/LPO10111206</t>
  </si>
  <si>
    <t>Kofo-Abayomi Branch</t>
  </si>
  <si>
    <t>Fabisek Investment Limited</t>
  </si>
  <si>
    <t>EBR2025/LPO10111207</t>
  </si>
  <si>
    <t>EBR2025/LPO10111208</t>
  </si>
  <si>
    <t>ENGAGEMENT FOR CYBER CRISIS SIMULATION EXERCISE</t>
  </si>
  <si>
    <t xml:space="preserve">KPMG Advisory Services </t>
  </si>
  <si>
    <t>EBR2025/LPO10111209</t>
  </si>
  <si>
    <t>SUPPLY OF HP PROBOOK G10 LAPTOP COMPUTER</t>
  </si>
  <si>
    <t>EBR2025/LPO10111210</t>
  </si>
  <si>
    <t>SUPPLY OF 50 UNITS OF HEADSETS</t>
  </si>
  <si>
    <t>Proxynet Communication</t>
  </si>
  <si>
    <t>EBR2025/LPO10111211</t>
  </si>
  <si>
    <t>Oke-ilewo BRANCH</t>
  </si>
  <si>
    <t>SUPPLY OF NINE (9) DAIKIN SPLIT INVERTER AIR CONDITIONERS-MALAYSIA</t>
  </si>
  <si>
    <t xml:space="preserve">Panaserve Nigeria Limited </t>
  </si>
  <si>
    <t>EBR2025/LPO10111212</t>
  </si>
  <si>
    <t>SUPPLY OF INDIVIDIAL ACCOUNT OPENING FORM</t>
  </si>
  <si>
    <t>Zacchi &amp; Krome Limited</t>
  </si>
  <si>
    <t>EBR2025/LPO10111213</t>
  </si>
  <si>
    <t xml:space="preserve">SUPPLY OF PRE-PRINTED STATIONERY </t>
  </si>
  <si>
    <t xml:space="preserve">Dapson Renny Ventures </t>
  </si>
  <si>
    <t>EBR2025/LPO10111215</t>
  </si>
  <si>
    <t>Iwo Road Branch</t>
  </si>
  <si>
    <t>SUPPLY OF TWENTY (20) UNITS OF 7AH UPS BATTERIES</t>
  </si>
  <si>
    <t xml:space="preserve">Inlaks Computer Limited </t>
  </si>
  <si>
    <t>EBR2025/LPO10111217</t>
  </si>
  <si>
    <t>Brand Management</t>
  </si>
  <si>
    <t xml:space="preserve">SUPPLY OF WATER DISPENSER MACHINE (CWAY) </t>
  </si>
  <si>
    <t>Cobbikonsult Enterprises </t>
  </si>
  <si>
    <t>EBR2025/LPO10111218</t>
  </si>
  <si>
    <t>SUPPLY OF DAIKINS INVERTER AIR CONDITIONERS</t>
  </si>
  <si>
    <t>EBR2025/LPO10111219</t>
  </si>
  <si>
    <t>Abuja Main Branch</t>
  </si>
  <si>
    <t>SUPPLY OF DAIKINS INVERTER AND STANDING SPLIT AIR CONDITIONERS</t>
  </si>
  <si>
    <t>EBR2025/LPO10111220</t>
  </si>
  <si>
    <t xml:space="preserve">SUPPLY OF ONE UNIT OF 13-INCH IPAD PRO </t>
  </si>
  <si>
    <t>EBR2025/LPO10111221</t>
  </si>
  <si>
    <t>INSTALLATION OF LOCAL AREA NETWORK AND CENTRAL UPS POINTS</t>
  </si>
  <si>
    <t>Technix Global Services Limited</t>
  </si>
  <si>
    <t>EBR2025/LPO10111222</t>
  </si>
  <si>
    <t>Oluroti Global Investments Nig. Ltd</t>
  </si>
  <si>
    <t>EBR2025/LPO10111223</t>
  </si>
  <si>
    <t xml:space="preserve">Realcom Technologies Limited </t>
  </si>
  <si>
    <t>EBR2025/LPO10111224</t>
  </si>
  <si>
    <t xml:space="preserve">Faimos ICT Consult </t>
  </si>
  <si>
    <t xml:space="preserve"> TOTAL PRICE   $
VAT INCLUSIVE</t>
  </si>
  <si>
    <t>EBR2025/LPO10111225</t>
  </si>
  <si>
    <t>Business Project Management Office</t>
  </si>
  <si>
    <t xml:space="preserve">The Chair Center Limited </t>
  </si>
  <si>
    <t>EBR2025/LPO10111226</t>
  </si>
  <si>
    <t xml:space="preserve">Supreme Source Nigeria Limited </t>
  </si>
  <si>
    <t>EBR2025/LPO10111227</t>
  </si>
  <si>
    <t>Minna branch</t>
  </si>
  <si>
    <t>SUPPLY OF THIRTY-TWO (32) UNITS OF 26AH UPS BATTERIES</t>
  </si>
  <si>
    <t>EBR2025/LPO10111228</t>
  </si>
  <si>
    <t>Library Avenue Branch</t>
  </si>
  <si>
    <t xml:space="preserve">SUPPLY OF 40 UNITS OF 40AH UPS BATTERIES </t>
  </si>
  <si>
    <t>Interwired Limited</t>
  </si>
  <si>
    <t>EBR2025/LPO10111229</t>
  </si>
  <si>
    <t xml:space="preserve">SUPPLY AND INSTALLATION OF ROLLER BLINDS AT MAITAMA REGIONAL OFFICE </t>
  </si>
  <si>
    <t>St. Victurus Nigeria Limited</t>
  </si>
  <si>
    <t>EBR2025/LPO10111230</t>
  </si>
  <si>
    <t xml:space="preserve">SUPPLY OF ONE (1) UNIT OF TABLETOP REFRIGERATOR </t>
  </si>
  <si>
    <t>Cobbikonsult Enterprises</t>
  </si>
  <si>
    <t>EBR2025/LPO10111231</t>
  </si>
  <si>
    <t xml:space="preserve">REVAMP OF LOCAL AREA NETWORK (LAN) </t>
  </si>
  <si>
    <t>Shieldtech Professional Services</t>
  </si>
  <si>
    <t>Lots</t>
  </si>
  <si>
    <t>EBR2025/LPO10111232</t>
  </si>
  <si>
    <t>Dr Site, Alagomeji &amp; Internal Audit</t>
  </si>
  <si>
    <t>REVAMP OF LOCAL AREA NETWORK (LAN) POINT </t>
  </si>
  <si>
    <t>Accelerated Networks </t>
  </si>
  <si>
    <t>EBR2025/LPO10111233</t>
  </si>
  <si>
    <t>EBR, BPR, INTOPS, T&amp;C</t>
  </si>
  <si>
    <t xml:space="preserve">SFO Technology </t>
  </si>
  <si>
    <t>EBR2025/LPO10111234</t>
  </si>
  <si>
    <t>Kirikasa, Biu</t>
  </si>
  <si>
    <t>REVAMP OF LOCAL AREA NETWORK</t>
  </si>
  <si>
    <t>EBR2025/LPO10111235</t>
  </si>
  <si>
    <t>Dawana Branch</t>
  </si>
  <si>
    <t>EBR2025/LPO10111236</t>
  </si>
  <si>
    <t>Lagos Street Branch</t>
  </si>
  <si>
    <t>EBR2025/LPO10111237</t>
  </si>
  <si>
    <t>Malumfashi Branch</t>
  </si>
  <si>
    <t>EBR2025/LPO10111238</t>
  </si>
  <si>
    <t>Internal Control &amp; Risk Mgt Dept</t>
  </si>
  <si>
    <t xml:space="preserve">SUPPLY OF OFFICE FURNITURE </t>
  </si>
  <si>
    <t>EBR2025/LPO10111239</t>
  </si>
  <si>
    <t>Risk Management Department</t>
  </si>
  <si>
    <t xml:space="preserve">SUPPLY OF FULL HEIGHT CABINET </t>
  </si>
  <si>
    <t>EBR2025/LPO10111240</t>
  </si>
  <si>
    <t>Aminu Kano Crescent Branch</t>
  </si>
  <si>
    <t>SUPPLY OF DAIKINS AIR CONDITIONERS</t>
  </si>
  <si>
    <t>EBR2025/LPO10111241</t>
  </si>
  <si>
    <t>Garrison &amp; Igwuruta Branch</t>
  </si>
  <si>
    <t xml:space="preserve">SUPPLY OF THREE (3) UNITS OF WIDMER TIME STAMPING MACHINE  </t>
  </si>
  <si>
    <t xml:space="preserve">Victronics Nigeria Limited  </t>
  </si>
  <si>
    <t>EBR2025/LPO10111242</t>
  </si>
  <si>
    <t>MICR/Clearing Unit, Awolowo Branch</t>
  </si>
  <si>
    <t>SUPPLY OF SIXTEEN (16) UNITS OF 7AH UPS BATTERIES</t>
  </si>
  <si>
    <t>EBR2025/LPO10111243</t>
  </si>
  <si>
    <t xml:space="preserve">Akpakpava Branch </t>
  </si>
  <si>
    <t xml:space="preserve">SUPPLY OF ONE (1) UNIT OF DERMALOG MF10 BVN MACHINE </t>
  </si>
  <si>
    <t>Chams Access Limited</t>
  </si>
  <si>
    <t>EBR2025/LPO10111244</t>
  </si>
  <si>
    <t xml:space="preserve">SUPPLY OF THREE (3) UNIT OF BVN CAMERAS </t>
  </si>
  <si>
    <t>EBR2025/LPO10111245</t>
  </si>
  <si>
    <t>SUPPLY OF 1.5HP PANASONIC AIR CONDITIONER</t>
  </si>
  <si>
    <t>EBR2025/LPO10111246</t>
  </si>
  <si>
    <t>SUPPLY OF CANNISTER AIR-FRESHNER</t>
  </si>
  <si>
    <t xml:space="preserve">Wahbco Venture </t>
  </si>
  <si>
    <t>EBR2025/LPO10111247</t>
  </si>
  <si>
    <t xml:space="preserve">SUPPLY OF TOILET PAPERS </t>
  </si>
  <si>
    <t>First Debotos Ventures</t>
  </si>
  <si>
    <t>EBR2025/LPO10111248</t>
  </si>
  <si>
    <t xml:space="preserve">SUPPLY OF CONSUMABLES </t>
  </si>
  <si>
    <t>Fehjohnmos Limited</t>
  </si>
  <si>
    <t>EBR2025/LPO10111249</t>
  </si>
  <si>
    <t xml:space="preserve">SUPPLY OF ENVELOPES </t>
  </si>
  <si>
    <t>FAE Limited</t>
  </si>
  <si>
    <t>EBR2025/LPO10111250</t>
  </si>
  <si>
    <t xml:space="preserve">SUPPLY OF CONSUMABLE ITEMS </t>
  </si>
  <si>
    <t>Jamotex Global Link</t>
  </si>
  <si>
    <t>EBR2025/LPO10111251</t>
  </si>
  <si>
    <t xml:space="preserve">SUPPLY OF HP USB MOUSE AND HP USB KEYBOARD </t>
  </si>
  <si>
    <t xml:space="preserve">Joshdan Nigeria Limited </t>
  </si>
  <si>
    <t>EBR2025/LPO10111252</t>
  </si>
  <si>
    <t>Olanrewaju &amp; Co</t>
  </si>
  <si>
    <t>EBR2025/LPO10111253</t>
  </si>
  <si>
    <t>EBR2025/LPO10111254</t>
  </si>
  <si>
    <t xml:space="preserve">SUPPLY OF GLADE AIRFRESHENER </t>
  </si>
  <si>
    <t>Qahy Merchant Limited</t>
  </si>
  <si>
    <t>EBR2025/LPO10111255</t>
  </si>
  <si>
    <t xml:space="preserve">SUPPLY OF CASH BAGS </t>
  </si>
  <si>
    <t>Peegan Enterprises</t>
  </si>
  <si>
    <t>EBR2025/LPO10111256</t>
  </si>
  <si>
    <t>Beluna Global Resources Ltd</t>
  </si>
  <si>
    <t>EBR2025/LPO10111257</t>
  </si>
  <si>
    <t xml:space="preserve">Mopevesol Ventures </t>
  </si>
  <si>
    <t>EBR2025/LPO10111258</t>
  </si>
  <si>
    <t xml:space="preserve">SUPPLY OF HANDWASH </t>
  </si>
  <si>
    <t>EBR2025/LPO10111259</t>
  </si>
  <si>
    <t>Fatai Atere Branch</t>
  </si>
  <si>
    <t xml:space="preserve">SUPPLY AND INSTALLATION OF 150AH INVERTER BATTERY </t>
  </si>
  <si>
    <t xml:space="preserve">Simba Infrastructure Limited </t>
  </si>
  <si>
    <t>EBR2025/LPO10111260</t>
  </si>
  <si>
    <t xml:space="preserve">SUPPLY OF LOCAL CURRENCY FUND TRANSFER FORM </t>
  </si>
  <si>
    <t>I-Gaf Integrated Services</t>
  </si>
  <si>
    <t>EBR2025/LPO10111261</t>
  </si>
  <si>
    <t>EBR2025/LPO10111262</t>
  </si>
  <si>
    <t>Nass Branch</t>
  </si>
  <si>
    <t xml:space="preserve">SUPPLY OF THREE (3) UNITS OF DESKTOP SCANNER </t>
  </si>
  <si>
    <t>EBR2025/LPO10111263</t>
  </si>
  <si>
    <t>Nass  Branch</t>
  </si>
  <si>
    <t xml:space="preserve">SUPPLY OF FOUR (4) UNITS OF 4-DRAWER FILING CABINET </t>
  </si>
  <si>
    <t>EBR2025/LPO10111264</t>
  </si>
  <si>
    <t>HR Operations Department</t>
  </si>
  <si>
    <t xml:space="preserve">SUPPLY OF ONE (1) UNIT OF REFRIGERATOR </t>
  </si>
  <si>
    <t xml:space="preserve">Cobbikonsult Enterprises </t>
  </si>
  <si>
    <t>EBR2025/LPO10111265</t>
  </si>
  <si>
    <t>Ikare Branch</t>
  </si>
  <si>
    <t xml:space="preserve">SUPPLY OF SIX (6) UNITS OF NOTE COUNTING MACHINE </t>
  </si>
  <si>
    <t>EBR2025/LPO10111266</t>
  </si>
  <si>
    <t>Ray Ogunesan Trading Company</t>
  </si>
  <si>
    <t>EBR2025/LPO10111267</t>
  </si>
  <si>
    <t>Compliance and Yes Centre department</t>
  </si>
  <si>
    <t xml:space="preserve">SUPPLY OF TWO (2) UNITS OF WATER DISPENSER MACHINE </t>
  </si>
  <si>
    <t>EBR2025/LPO10111268</t>
  </si>
  <si>
    <t xml:space="preserve">SUPPLY OF CONSUMABLES ITEMS </t>
  </si>
  <si>
    <t>A2Z Technical Services</t>
  </si>
  <si>
    <t>`</t>
  </si>
  <si>
    <t>EBR2025/LPO10111269</t>
  </si>
  <si>
    <t>SUPPLY OF INSTANT CARD RIBBON – WHITE AND CLEANING KIT</t>
  </si>
  <si>
    <t xml:space="preserve">Pajuno Development Company Limited </t>
  </si>
  <si>
    <t>EBR2025/LPO10111270</t>
  </si>
  <si>
    <t>SUPPLY OF THERMAL PAPER ROLL</t>
  </si>
  <si>
    <t xml:space="preserve">Superflux International Limited </t>
  </si>
  <si>
    <t>EBR2025/LPO10111272</t>
  </si>
  <si>
    <t xml:space="preserve">DEPLOYMENT/MIGRATION OF CRM APPLICATION TO AMAZON WEB SERVICES (AWS) </t>
  </si>
  <si>
    <t>Datamellon Limited</t>
  </si>
  <si>
    <t>EBR2025/LPO10111273</t>
  </si>
  <si>
    <t>M-FILE ELECTRONIC DOCUMENT MANAGEMENT SOLUTION</t>
  </si>
  <si>
    <t>Central Securities Clearing System Plc</t>
  </si>
  <si>
    <t>EBR2025/LPO10111274</t>
  </si>
  <si>
    <t>Jalingo and Ketu Branch</t>
  </si>
  <si>
    <t xml:space="preserve">SUPPLY OF THREE (3) HP LASERJET PRO M255DW </t>
  </si>
  <si>
    <t>EBR2025/LPO10111275</t>
  </si>
  <si>
    <t>Maitama Branch</t>
  </si>
  <si>
    <t>EBR2025/LPO10111276</t>
  </si>
  <si>
    <t>SUPPLY OF 1.5HP DAIKINS AIR CONDITIONERS</t>
  </si>
  <si>
    <t>EBR2025/LPO10111277</t>
  </si>
  <si>
    <t>EBR2025/LPO10111278</t>
  </si>
  <si>
    <t>EBR2025/LPO10111279</t>
  </si>
  <si>
    <t>EBR2025/LPO10111280</t>
  </si>
  <si>
    <t xml:space="preserve">IMPLEMENTATION OF SIP TRUNK LINE ON AVAYA </t>
  </si>
  <si>
    <t xml:space="preserve">SPL Business Solution Nigeria Limited </t>
  </si>
  <si>
    <t>EBR2025/LPO10111281</t>
  </si>
  <si>
    <t>International Operations Department</t>
  </si>
  <si>
    <t xml:space="preserve">SUPPLY OF TWO (2) UNITS OF ERGONOMIC CHAIR </t>
  </si>
  <si>
    <t>EBR2025/LPO10111282</t>
  </si>
  <si>
    <t>Sapon Branch</t>
  </si>
  <si>
    <t xml:space="preserve">SUPPLY OF 64 UNITS OF 12V-18AH UPS BATTERIES </t>
  </si>
  <si>
    <t>EBR2025/LPO10111283</t>
  </si>
  <si>
    <t>PCI-DSS V4.0 RECERTIFICATION SUPPORT: CONSULTING (SCOPE, GAP ASSESSMENT, COMPLIANCE ROADMAP) &amp; REMEDIATION (VULNERABILITY SCANS, REMEDIATION PLANNING, REPORT PREP)</t>
  </si>
  <si>
    <t>Digital Encode Limited</t>
  </si>
  <si>
    <t>EBR2025/LPO10111284</t>
  </si>
  <si>
    <t>Effurun and Olusegun Obasanjo Branch</t>
  </si>
  <si>
    <t xml:space="preserve">SUPPLY OF OFFICER’S CHAIR </t>
  </si>
  <si>
    <t>EBR2025/LPO10111285</t>
  </si>
  <si>
    <t>Jalingo Branch</t>
  </si>
  <si>
    <t xml:space="preserve">SUPPLY OF UV LAMPS </t>
  </si>
  <si>
    <t>EBR2025/LPO10111286</t>
  </si>
  <si>
    <t>EBR2025/LPO10111287</t>
  </si>
  <si>
    <t>DH, North Region</t>
  </si>
  <si>
    <t>EBR2025/LPO10111288</t>
  </si>
  <si>
    <t>EBR2025/LPO10111289</t>
  </si>
  <si>
    <t>SUPPLY OF LASERJET M236DW PRINTER</t>
  </si>
  <si>
    <t>EBR2025/LPO10111290</t>
  </si>
  <si>
    <t>SUPPLY OF DELL WORKSTATION</t>
  </si>
  <si>
    <t>7,955,000.00.00</t>
  </si>
  <si>
    <t>EBR2025/LPO10111291</t>
  </si>
  <si>
    <t>Five (5) Branches</t>
  </si>
  <si>
    <t xml:space="preserve">SUPPLY OF FIVE (5) UNITS OF DERMALOG BVN SET </t>
  </si>
  <si>
    <t>EBR2025/LPO10111292</t>
  </si>
  <si>
    <t>Ademola Adetokunbo Branch</t>
  </si>
  <si>
    <t xml:space="preserve">SUPPLY OF 32 UNITS OF 40AH UPS BATTERIES </t>
  </si>
  <si>
    <t>EBR2025/LPO10111293</t>
  </si>
  <si>
    <t xml:space="preserve">SUPPLY OF HP SCANJET PRO SCANNER  </t>
  </si>
  <si>
    <t>EBR2025/LPO10111294</t>
  </si>
  <si>
    <t>Maitama Training School</t>
  </si>
  <si>
    <t xml:space="preserve">SUPPLY OF SMART DISPLAY SCREEN, SPEAKER, MICROPHONE WITH COMPLETE INSTALLATION ACCESSORIES.  </t>
  </si>
  <si>
    <t>IT Managed Service Ltd</t>
  </si>
  <si>
    <t>EBR2025/LPO10111271</t>
  </si>
  <si>
    <t xml:space="preserve">VULNERABILITY ASSESSMENT AND PENETRATION TESTING (VAPT) </t>
  </si>
  <si>
    <t xml:space="preserve">Deloitte &amp; Touche </t>
  </si>
  <si>
    <t>EBR2025/LPO10111295</t>
  </si>
  <si>
    <t>Sapele Branch</t>
  </si>
  <si>
    <t xml:space="preserve">SUPPLY OF 60KVA PERKINS SOUNDPROOF GENERATOR  </t>
  </si>
  <si>
    <t>JMG Limited</t>
  </si>
  <si>
    <t>EBR2025/LPO10111296</t>
  </si>
  <si>
    <t xml:space="preserve">Artee Industries Limited (SPAR) </t>
  </si>
  <si>
    <t>EBR2025/LPO10111297</t>
  </si>
  <si>
    <t>EBR2025/LPO10111298</t>
  </si>
  <si>
    <t>Okporo &amp; CBD2 Branch</t>
  </si>
  <si>
    <t xml:space="preserve">SUPPLY AND INSTALLATION OF FIFTY (50) UNITS OF 40AH UPS BATTERY </t>
  </si>
  <si>
    <t>EBR2025/LPO10111299</t>
  </si>
  <si>
    <t>Fatai Atere, Campbell &amp; OJuelegba Branch</t>
  </si>
  <si>
    <t xml:space="preserve">SUPPLY AND INSTALLATION OF 7AH UPS BATTERY </t>
  </si>
  <si>
    <t>EBR2025/LPO10111300</t>
  </si>
  <si>
    <t>Four Branches</t>
  </si>
  <si>
    <t>EBR2025/LPO10111301</t>
  </si>
  <si>
    <t>Apapa &amp; Isheri Ojodu Branch</t>
  </si>
  <si>
    <t>EBR2025/LPO10111302</t>
  </si>
  <si>
    <t>Oto Awori, MMWay, Kano &amp; Dutse Branch</t>
  </si>
  <si>
    <t>EBR2025/LPO10111303</t>
  </si>
  <si>
    <t>Lautech Cash Center</t>
  </si>
  <si>
    <t xml:space="preserve">SUPPLY OF 30 UNITS OF 9AH UPS BATTERIES </t>
  </si>
  <si>
    <t>EBR2025/LPO10111304</t>
  </si>
  <si>
    <t>Ikota Shopping Complex and Alfred Rewane Branch</t>
  </si>
  <si>
    <t>EBR2025/LPO10111305</t>
  </si>
  <si>
    <t>Agenebode Branch</t>
  </si>
  <si>
    <t xml:space="preserve">SUPPLY OF HP LASERJET PRO 4003N PRINTER </t>
  </si>
  <si>
    <t>EBR2025/LPO10111306</t>
  </si>
  <si>
    <t>Ikota Shopping Complex</t>
  </si>
  <si>
    <t>EBR2025/LPO10111307</t>
  </si>
  <si>
    <t>Trans Amadi Branch &amp; Legal Department, Abuja</t>
  </si>
  <si>
    <t>EBR2025/LPO10111308</t>
  </si>
  <si>
    <t>EBR2025/LPO10111309</t>
  </si>
  <si>
    <t>Head, Enterprise Performance Management</t>
  </si>
  <si>
    <t>SUPPLY OF HP PROBOOK 440 G10 LAPTOP COMPUTER</t>
  </si>
  <si>
    <t>EBR2025/LPO10111310</t>
  </si>
  <si>
    <t>EBR2025/LPO10111311</t>
  </si>
  <si>
    <t>Abuja Training Facility</t>
  </si>
  <si>
    <t>EBR2025/LPO10111312</t>
  </si>
  <si>
    <t>SUPPLY OF CORPORATE AND INDIVIDUAL CHEQUE BOOKS</t>
  </si>
  <si>
    <t>EBR2025/LPO10111214</t>
  </si>
  <si>
    <t>4 LOCATIONS</t>
  </si>
  <si>
    <t>SUPPLY OF UPS BATTERIES</t>
  </si>
  <si>
    <t>EBR2025/LPO10111216</t>
  </si>
  <si>
    <t>Obosi &amp; Ring Road Branch</t>
  </si>
  <si>
    <t xml:space="preserve">SUPPLY OF 40UNITS OF 9AH UPS BATTERIES </t>
  </si>
  <si>
    <t>EBR2025/LPO10111313</t>
  </si>
  <si>
    <t>Ijebu Ode Branch</t>
  </si>
  <si>
    <t>SUPPLY OF CISCO 9200 (24-PORT PoE) SWITCH</t>
  </si>
  <si>
    <t xml:space="preserve">Bluechip Technologies Limited </t>
  </si>
  <si>
    <t>EBR2025/LPO10111314</t>
  </si>
  <si>
    <t>Nchia Eleme Branch</t>
  </si>
  <si>
    <t>EBR2025/LPO10111315</t>
  </si>
  <si>
    <t>Enterprise Transformation and Innovation Department</t>
  </si>
  <si>
    <t xml:space="preserve">INSTALLATION OF LOCAL AREA NETWORK (LAN) POINT </t>
  </si>
  <si>
    <t xml:space="preserve">Accelerated Networks </t>
  </si>
  <si>
    <t>29/09/2025</t>
  </si>
  <si>
    <t>EBR2025/LPO10111316</t>
  </si>
  <si>
    <t>SUPPLY OF 1.5HP DAIKINS SPLIT INVERTER AIR CONDITIONER</t>
  </si>
  <si>
    <t xml:space="preserve">Everstable Cedars Nigeria Limited  </t>
  </si>
  <si>
    <t>EBR2025/LPO10111317</t>
  </si>
  <si>
    <t>Port Harcourt Branch</t>
  </si>
  <si>
    <t>EBR2025/LPO10111318</t>
  </si>
  <si>
    <t>Executive Office (Abuja)</t>
  </si>
  <si>
    <t xml:space="preserve">SUPPLY OF TEN (10) UNITS OF ERGONOMIC MANAGER’S CHAIR </t>
  </si>
  <si>
    <t>Home &amp; You Limited</t>
  </si>
  <si>
    <t>EBR2025/LPO10111319</t>
  </si>
  <si>
    <t>EBR2025/LPO10111320</t>
  </si>
  <si>
    <t>SUPPLY OF OFFICE FURNITURES</t>
  </si>
  <si>
    <t>EBR2025/LPO10111321</t>
  </si>
  <si>
    <t>EBR2025/LPO10111322</t>
  </si>
  <si>
    <t>DH, Central Operations</t>
  </si>
  <si>
    <t>EBR2025/LPO10111323</t>
  </si>
  <si>
    <t>EBR2025/LPO10111324</t>
  </si>
  <si>
    <t>IMPLEMENTATION OF STANDARDS DUE FOR COMPLIANCE AUDIT IN FINANCIAL YEAR, 2025</t>
  </si>
  <si>
    <t xml:space="preserve">Opex Consulting </t>
  </si>
  <si>
    <t>EBR2025/LPO10111325</t>
  </si>
  <si>
    <t>Transaction Banking Department</t>
  </si>
  <si>
    <t xml:space="preserve">SUPPLY OF DESKTOP COMPUTER SYSTEM  </t>
  </si>
  <si>
    <t>EBR2025/LPO10111326</t>
  </si>
  <si>
    <t>Ondo Branch</t>
  </si>
  <si>
    <t>SUPPLY OF 20KVA UPS MACHINES</t>
  </si>
  <si>
    <t>EBR2025/LPO10111327</t>
  </si>
  <si>
    <t>Driver’s Unit, Churchgate</t>
  </si>
  <si>
    <t>SUPPLY OF 2HP DAIKINS SPLIT INVERTER AIR CONDITIONER</t>
  </si>
  <si>
    <t>Everstable Cedars Nigeria Limited</t>
  </si>
  <si>
    <t>EBR2025/LPO10111328</t>
  </si>
  <si>
    <t>EBR2025/LPO10111329</t>
  </si>
  <si>
    <t>EBR2025/LPO10111330</t>
  </si>
  <si>
    <t>SUPPLY OF OFFICER’S TABLE</t>
  </si>
  <si>
    <t>EBR2025/LPO10111331</t>
  </si>
  <si>
    <t>EBR2025/LPO10111332</t>
  </si>
  <si>
    <t xml:space="preserve">UPGRADE OF FINA SERIAL OBJECT PROTOCOL (FINASOP) APPLICATION </t>
  </si>
  <si>
    <t xml:space="preserve">Ekons Consulting Limited </t>
  </si>
  <si>
    <t>EBR2025/LPO10111333</t>
  </si>
  <si>
    <t>Egbe Branch</t>
  </si>
  <si>
    <t xml:space="preserve">SUPPLY AND INSTALLATION OF 20KVA UPS SOLUTION </t>
  </si>
  <si>
    <t>EBR2025/LPO10111334</t>
  </si>
  <si>
    <t>RH, Public Sector</t>
  </si>
  <si>
    <t>SUPPLY OF L-SHAPE TABLE</t>
  </si>
  <si>
    <t>EBR2025/LPO10111335</t>
  </si>
  <si>
    <t xml:space="preserve">SUPPLY OF VISITOR’S CHAIR </t>
  </si>
  <si>
    <t>EBR2025/LPO10111336</t>
  </si>
  <si>
    <t>Adesola Print &amp; Co. Ltd</t>
  </si>
  <si>
    <t>EBR2025/LPO10111337</t>
  </si>
  <si>
    <t>EBR2025/LPO10111338</t>
  </si>
  <si>
    <t>Teefag Communication</t>
  </si>
  <si>
    <t>EBR2025/LPO10111339</t>
  </si>
  <si>
    <t>EBR2025/LPO10111340</t>
  </si>
  <si>
    <t>Dassttilan Nigeria Limited</t>
  </si>
  <si>
    <t>EBR2025/LPO10111341</t>
  </si>
  <si>
    <t>EBR2025/LPO10111342</t>
  </si>
  <si>
    <t>Olu-Popson Business Ventures</t>
  </si>
  <si>
    <t>EBR2025/LPO10111343</t>
  </si>
  <si>
    <t>Living Proof Limited</t>
  </si>
  <si>
    <t>EBR2025/LPO10111344</t>
  </si>
  <si>
    <t>EBR2025/LPO10111345</t>
  </si>
  <si>
    <t xml:space="preserve">SUPPLY OF DERMALOG VERFICATION SCANNER </t>
  </si>
  <si>
    <t>Link-Stride Security System Limited</t>
  </si>
  <si>
    <t>EBR2025/LPO10111346</t>
  </si>
  <si>
    <t xml:space="preserve">SUPPLY OF ATM REDESIGN FORM </t>
  </si>
  <si>
    <t>EBR2025/LPO10111347</t>
  </si>
  <si>
    <t xml:space="preserve">SUPPLY OF MICROWAVE </t>
  </si>
  <si>
    <t>EBR2025/LPO10111348</t>
  </si>
  <si>
    <t>Ojokoro and Fatai Atere Branch</t>
  </si>
  <si>
    <t xml:space="preserve">SUPPLY OF TWO (2) UNITS OF DERMALOG LF10 MACHINE </t>
  </si>
  <si>
    <t xml:space="preserve">ENTERPRISE SECURITY ASSESSMENT &amp; DEFENSE RESPONSE PROJECT </t>
  </si>
  <si>
    <r>
      <rPr>
        <sz val="10"/>
        <color rgb="FF000000"/>
        <rFont val="Verdana"/>
      </rPr>
      <t>DEPLOYMENT OF FEDERAL INLAND REVENUE SERVICE (FIRS) E-INVOICING SYSTEM</t>
    </r>
    <r>
      <rPr>
        <b/>
        <u/>
        <sz val="10"/>
        <color rgb="FF000000"/>
        <rFont val="Verdana"/>
      </rPr>
      <t xml:space="preserve"> </t>
    </r>
  </si>
  <si>
    <t>eTranzact International Plc</t>
  </si>
  <si>
    <t>Aba Factory Rd</t>
  </si>
  <si>
    <t>SUPPLY OF TELLER RECEIPT PRINTER</t>
  </si>
  <si>
    <t>Three (3) Polaris Bank Location</t>
  </si>
  <si>
    <t xml:space="preserve">SUPPLY OF OFFICE EQUIPMENT </t>
  </si>
  <si>
    <t>Security Unit, Churchgate</t>
  </si>
  <si>
    <t>DH, Apapa Region</t>
  </si>
  <si>
    <t>Ajose Adeogun Cash Center</t>
  </si>
  <si>
    <t xml:space="preserve">SUPPLY OF 40 UNITS OF 9AH UPS BATTERIES </t>
  </si>
  <si>
    <t>Regional Product Manager, South South Region</t>
  </si>
  <si>
    <t>CISO Office, Polaris Bank,</t>
  </si>
  <si>
    <t>Head, Retail Banking</t>
  </si>
  <si>
    <t>Goodness and Glory of God Merchants</t>
  </si>
  <si>
    <t>EBR2025/LPO10111349</t>
  </si>
  <si>
    <t>SUPPLY OF CASH TRANSIT BAGS</t>
  </si>
  <si>
    <t xml:space="preserve">WNL-Tech Ltd </t>
  </si>
  <si>
    <t>EBR2025/LPO10111350</t>
  </si>
  <si>
    <t>Churchgate Building Polaris Bank</t>
  </si>
  <si>
    <t xml:space="preserve">SUPPLY OF ONE (1) UNIT OF 6KVA LITHIUM INVERTER SOLUTIONS </t>
  </si>
  <si>
    <t>EBR2025/LPO10111351</t>
  </si>
  <si>
    <t xml:space="preserve">SUPPLY OF OFFICER’S DESK </t>
  </si>
  <si>
    <t>EBR2025/LPO10111352</t>
  </si>
  <si>
    <t>Talent and Culture Department</t>
  </si>
  <si>
    <t>SUPPLY OF LASERJET PRO MFP M183FW PRINTER</t>
  </si>
  <si>
    <t>Edgebase Technologies</t>
  </si>
  <si>
    <t>EBR2025/LPO10111353</t>
  </si>
  <si>
    <t xml:space="preserve">Bamxtian Concepts </t>
  </si>
  <si>
    <t>EBR2025/LPO10111354</t>
  </si>
  <si>
    <t>Two (2) Polaris Bank Locations</t>
  </si>
  <si>
    <t xml:space="preserve">SUPPLY OF INVERTER AIR CONDITIONERS  </t>
  </si>
  <si>
    <t>1,902.750.00</t>
  </si>
  <si>
    <t>EBR2025/LPO10111355</t>
  </si>
  <si>
    <t>Vicjosel Global Enterprises</t>
  </si>
  <si>
    <t>EBR2025/LPO10111356</t>
  </si>
  <si>
    <t xml:space="preserve">PROVISION OF ISSB (IFRS S1 &amp; S2) SUSTAINABILITY REPORTING STANDARDS SUPPORT SERVICES </t>
  </si>
  <si>
    <t xml:space="preserve">Ernst &amp; Young </t>
  </si>
  <si>
    <t>EBR2025/LPO10111357</t>
  </si>
  <si>
    <t>5 polaris bank location</t>
  </si>
  <si>
    <t xml:space="preserve">SUPPLY OF FIVE (5) UNITS OF CANON LIDE 400 SCANNER </t>
  </si>
  <si>
    <t>EBR2025/LPO10111358</t>
  </si>
  <si>
    <t>Life camp and Ogba Branch</t>
  </si>
  <si>
    <t>EBR2025/LPO10111359</t>
  </si>
  <si>
    <t>Hadejia Branch</t>
  </si>
  <si>
    <t>EBR2025/LPO10111360</t>
  </si>
  <si>
    <t>Garrison Branch,</t>
  </si>
  <si>
    <t xml:space="preserve">SUPPLY OF UV LAMP </t>
  </si>
  <si>
    <t>Landam Nigeria Limited</t>
  </si>
  <si>
    <t>EBR2025/LPO10111361</t>
  </si>
  <si>
    <t>Jebba, Nahco &amp; GWAgwalada Branch</t>
  </si>
  <si>
    <t>SUPPLY OF THREE (3) UNITS OF HP LASERJET PRO 4003DW PRINTER</t>
  </si>
  <si>
    <t>EBR2025/LPO10111362</t>
  </si>
  <si>
    <t>Head, Operational Risks</t>
  </si>
  <si>
    <t>SUPPLY OF ERGONOMIC CHAIR</t>
  </si>
  <si>
    <t>Igwuruta, Gwagwalada</t>
  </si>
  <si>
    <t>EBR2025/LPO10111363</t>
  </si>
  <si>
    <t>Garki Branch</t>
  </si>
  <si>
    <t>EBR2025/LPO10111364</t>
  </si>
  <si>
    <t>Compliance Department</t>
  </si>
  <si>
    <t>EBR2025/LPO10111365</t>
  </si>
  <si>
    <t>Chief Talent and Culture</t>
  </si>
  <si>
    <t>EBR2025/LPO10111366</t>
  </si>
  <si>
    <t>SUPPLY OF HP ELITEBOOK x360 G11 LAPTOP SYSTEM</t>
  </si>
  <si>
    <t>Manifold Computers</t>
  </si>
  <si>
    <t>EBR2025/LPO10111367</t>
  </si>
  <si>
    <t xml:space="preserve">SUPPLY OF ONE HUNDRED (100) UNITS OF HP PROBOOK 640 G5 LAPTOP SYSTEM (FACTORY CERTIFIED). </t>
  </si>
  <si>
    <t>J-FLOW TECHNOLOGY WORLD</t>
  </si>
  <si>
    <t>EBR2025/LPO10111368</t>
  </si>
  <si>
    <t>Abakaliki Branch</t>
  </si>
  <si>
    <t>EBR2025/LPO10111369</t>
  </si>
  <si>
    <t>FMC Gombe Cash Centre</t>
  </si>
  <si>
    <t>EBR2025/LPO10111370</t>
  </si>
  <si>
    <t>Awolowo Branch</t>
  </si>
  <si>
    <t xml:space="preserve">SUPPLY OF DAIKINS SPLIT INVERTER AIR CONDITIONERS  </t>
  </si>
  <si>
    <t>EBR2025/LPO10111371</t>
  </si>
  <si>
    <t xml:space="preserve">PROCUREMENT OF POOL VEHICLES </t>
  </si>
  <si>
    <t>Mikano International Limited</t>
  </si>
  <si>
    <t>EBR2025/LPO10111372</t>
  </si>
  <si>
    <t>Divisional Head, Operations Office</t>
  </si>
  <si>
    <t xml:space="preserve">SUPPLY OF COFFEE TABLE </t>
  </si>
  <si>
    <t>EBR2025/LPO10111373</t>
  </si>
  <si>
    <t>3 Locations</t>
  </si>
  <si>
    <t>EBR2025/LPO10111374</t>
  </si>
  <si>
    <t xml:space="preserve">SUPPLY OF ENVELOPES A4 SIZE </t>
  </si>
  <si>
    <t>EBR2025/LPO10111375</t>
  </si>
  <si>
    <t>SUPPLY OF IBM LTO8 TAPE CARTRIDGES AND BARCODES</t>
  </si>
  <si>
    <t>Biseta Nigeria Limited</t>
  </si>
  <si>
    <t>EBR2025/LPO10111376</t>
  </si>
  <si>
    <t>SUPPLY OF INSTANT CARD RIBBON - WHITE</t>
  </si>
  <si>
    <t>,160,000.00</t>
  </si>
  <si>
    <t>EBR2025/LPO10111377</t>
  </si>
  <si>
    <t>EBR2025/LPO10111378</t>
  </si>
  <si>
    <t>Head of Project Management Office</t>
  </si>
  <si>
    <t xml:space="preserve">SUPPLY OF ONE (1) UNIT OF DAIKINS SPLIT INVERTER AIR CONDITIONER  </t>
  </si>
  <si>
    <t>EBR2025/LPO10111379</t>
  </si>
  <si>
    <t>EBR2025/LPO10111380</t>
  </si>
  <si>
    <t xml:space="preserve">SUPPLY OF E-SERVICE FORM </t>
  </si>
  <si>
    <t>EBR2025/LPO10111381</t>
  </si>
  <si>
    <t xml:space="preserve">PROVISION OF A COMPREHENSIVE OPERATION PROCESS IMPROVEMENT REVIEW </t>
  </si>
  <si>
    <t>Denziel Consulting Services Limited</t>
  </si>
  <si>
    <t>EBR2025/LPO10111382</t>
  </si>
  <si>
    <t>EXECUTIVE OFFICE</t>
  </si>
  <si>
    <t xml:space="preserve">SUPPLY OF OFFICE CHAIR </t>
  </si>
  <si>
    <t xml:space="preserve">Office “R” Us </t>
  </si>
  <si>
    <t>EBR2025/LPO10111386</t>
  </si>
  <si>
    <t>Various Locations</t>
  </si>
  <si>
    <t>EBR2025/LPO10111383</t>
  </si>
  <si>
    <t>Head, Talent Management</t>
  </si>
  <si>
    <t xml:space="preserve">SUPPLY OF ONE (1) UNIT OF HP PROBOOK 440 G11 LAPTOP   </t>
  </si>
  <si>
    <t>Allied Computers Limited</t>
  </si>
  <si>
    <t xml:space="preserve">EBR2024/LPO10111384 </t>
  </si>
  <si>
    <t>EBR2024/LPO10111385</t>
  </si>
  <si>
    <t xml:space="preserve">SUPPLY OF A4 COPIER PAPERS </t>
  </si>
  <si>
    <t xml:space="preserve">Seadex Nigeria Enterprises </t>
  </si>
  <si>
    <t>EBR2024/LPO10111387</t>
  </si>
  <si>
    <t xml:space="preserve">Yenagoa Branch </t>
  </si>
  <si>
    <t>EBR2024/LPO10111388</t>
  </si>
  <si>
    <t>Five (5) Polaris Bank</t>
  </si>
  <si>
    <t>SUPPLY OF VISITOR’S CHAIR</t>
  </si>
  <si>
    <t xml:space="preserve">Home Fitters Limited </t>
  </si>
  <si>
    <t>EBR2024/LPO10111389</t>
  </si>
  <si>
    <t xml:space="preserve">SUPPLY OF 3-SEATER SOFA </t>
  </si>
  <si>
    <t>Office “R” US</t>
  </si>
  <si>
    <t>EBR2024/LPO10111390</t>
  </si>
  <si>
    <t>Aladja Branch</t>
  </si>
  <si>
    <t>SUPPLY OF ONE (1) UNIT OF 2HP DAIKINS INVERTER AIR CONDITIONER</t>
  </si>
  <si>
    <t>EBR2024/LPO10111391</t>
  </si>
  <si>
    <t>Regional Analyst, South-South Division Office</t>
  </si>
  <si>
    <t>SUPPLY OF ONE (1) UNIT OF DAIKINS INVERTER AIR CONDITIONER</t>
  </si>
  <si>
    <t>EBR2024/LPO10111392</t>
  </si>
  <si>
    <t>Bishop Oluwole Head Office</t>
  </si>
  <si>
    <t xml:space="preserve">SUPPLY OF RECEPTION TABLE </t>
  </si>
  <si>
    <t>EBR2024/LPO10111393</t>
  </si>
  <si>
    <t>Internal Control Unit</t>
  </si>
  <si>
    <t xml:space="preserve">PROVISION OF A COMPREHENSIVE AS­IS ASSESSMENT OF INTERNAL CONTROL GROUP  </t>
  </si>
  <si>
    <t>Nofinality Global Service Limited </t>
  </si>
  <si>
    <t>EBR2024/LPO10111394</t>
  </si>
  <si>
    <t>GH, Enterprise Business Resources Department</t>
  </si>
  <si>
    <t xml:space="preserve">SUPPLY OF ONE UNIT OF HP ELITEBOOK 830 G9 LAPTOP </t>
  </si>
  <si>
    <t>EBR2024/LPO10111395</t>
  </si>
  <si>
    <t>Three (3) Polaris Bank Locations</t>
  </si>
  <si>
    <t>EBR2024/LPO10111396</t>
  </si>
  <si>
    <t>Ilorin Main Branch</t>
  </si>
  <si>
    <t>SUPPLY OF THREE (3) UNIT OF 2HP DAIKINS INVERTER AIR CONDITIONER</t>
  </si>
  <si>
    <t>EBR2024/LPO10111397</t>
  </si>
  <si>
    <t>PROVISION OF MOBILE CODE OBFUSCATION SOLUTION FOR DIASPORA CUSTOMERS</t>
  </si>
  <si>
    <t>Guardsquare nv</t>
  </si>
  <si>
    <t>EBR2024/LPO10111398</t>
  </si>
  <si>
    <t>Garrison and Trans Amadi Branch</t>
  </si>
  <si>
    <t xml:space="preserve">SUPPLY OF FIVE (5) UNITS OF HP LASERJET PRO 4003DW PRINTER  </t>
  </si>
  <si>
    <t>EBR2024/LPO10111399</t>
  </si>
  <si>
    <t>Garrison Branch</t>
  </si>
  <si>
    <t>SUPPLY OF TWENTY-TWO (22) UNITS OF COMPLETE SET DELL DESKTOP COMPUTERS (FACTORY CERTIFIED)</t>
  </si>
  <si>
    <t>EBR2024/LPO10111400</t>
  </si>
  <si>
    <t>SUPPLY OF THREE (3) UNITS OF CANONLIDE 400 SCANNER</t>
  </si>
  <si>
    <t>EBR2024/LPO10111401</t>
  </si>
  <si>
    <t>EBR2024/LPO10111402</t>
  </si>
  <si>
    <t>Various Polaris Bank Locations</t>
  </si>
  <si>
    <t>EBR2024/LPO10111403</t>
  </si>
  <si>
    <t>EBR2024/LPO10111404</t>
  </si>
  <si>
    <t>EBR2024/LPO10111405</t>
  </si>
  <si>
    <t>Suleja Branch</t>
  </si>
  <si>
    <t>EBR2024/LPO10111406</t>
  </si>
  <si>
    <t xml:space="preserve">Polaris Bank </t>
  </si>
  <si>
    <t>SUPPLY OF LAPTOPS AND COMPLETE SET OF DELL DESKTOP COMPUTER SYSTEM</t>
  </si>
  <si>
    <t>EBR2024/LPO10111407</t>
  </si>
  <si>
    <t xml:space="preserve">UPGRADE OF THE PORTNOX NETWROK ACCESS CONTROL (NAC) SOLUTION </t>
  </si>
  <si>
    <t xml:space="preserve">eProcess Consulting Ltd </t>
  </si>
  <si>
    <t>EBR2024/LPO10111408</t>
  </si>
  <si>
    <t>DH, Operations Polaris Bank</t>
  </si>
  <si>
    <t xml:space="preserve">SUPPLY OF HP ELITEBOOK X360 830 G11 </t>
  </si>
  <si>
    <t>EBR2024/LPO10111409</t>
  </si>
  <si>
    <t>Garki and Kaduna Main Branch</t>
  </si>
  <si>
    <t xml:space="preserve">SUPPLY OF FOUR (4) UNITS OF BVN CAMERAS </t>
  </si>
  <si>
    <t>EBR2024/LPO10111410</t>
  </si>
  <si>
    <t>EBR2024/LPO10111411</t>
  </si>
  <si>
    <t>Whetheral Road Branch</t>
  </si>
  <si>
    <t xml:space="preserve">SUPPLY OF DERMALOG MF10 BVN MACHINE </t>
  </si>
  <si>
    <t>EBR2024/LPO10111412</t>
  </si>
  <si>
    <t>Ugbowo Branch</t>
  </si>
  <si>
    <t>EBR2024/LPO10111413</t>
  </si>
  <si>
    <t>Nnebisi Branch</t>
  </si>
  <si>
    <t>EBR2024/LPO10111414</t>
  </si>
  <si>
    <t>Abayomi Iwo Road Branch</t>
  </si>
  <si>
    <t>EBR2024/LPO10111415</t>
  </si>
  <si>
    <t xml:space="preserve">SUPPLY OF 3-IN-1 GANG CHAIR </t>
  </si>
  <si>
    <t>EBR2024/LPO10111416</t>
  </si>
  <si>
    <t>EBR2024/LPO10111417</t>
  </si>
  <si>
    <t>4 Polaris Bank Locations</t>
  </si>
  <si>
    <t xml:space="preserve">SUPPLY OF FIVE (5) UNITS OF CANONLIDE 400 SCANNER </t>
  </si>
  <si>
    <t>EBR2024/LPO10111418</t>
  </si>
  <si>
    <t>Life Camp Branch</t>
  </si>
  <si>
    <t xml:space="preserve">SUPPLY OF TWO (2) UNITS OF NOTE COUNTING MACHINE </t>
  </si>
  <si>
    <t>EBR2024/LPO10111419</t>
  </si>
  <si>
    <t>Head, Retail Banking, Polaris Bank</t>
  </si>
  <si>
    <t xml:space="preserve">SUPPLY OF ERGONOMIC ORTHOPEDIC EXECUTIVE CHAIR </t>
  </si>
  <si>
    <t xml:space="preserve">Wrightseating Ltd </t>
  </si>
  <si>
    <t>EBR2024/LPO10111420</t>
  </si>
  <si>
    <t>GH, Internal Control,</t>
  </si>
  <si>
    <t>EBR2024/LPO10111421</t>
  </si>
  <si>
    <t>Financial Control Department</t>
  </si>
  <si>
    <t xml:space="preserve">SUPPLY OF 1.5HP DAIKINS SPLIT INVERTER AIR CONDITIONER  </t>
  </si>
  <si>
    <t>EBR2024/LPO10111422</t>
  </si>
  <si>
    <t>Six (6) Polaris Bank Locations</t>
  </si>
  <si>
    <t xml:space="preserve">PRODUCTION AND SUPPLY OF PAINTS </t>
  </si>
  <si>
    <t xml:space="preserve">Meyer Plc </t>
  </si>
  <si>
    <t>EBR2024/LPO10111423</t>
  </si>
  <si>
    <t>EBR2024/LPO10111424</t>
  </si>
  <si>
    <t>EBR2024/LPO10111425</t>
  </si>
  <si>
    <t>SUPPLY OF HP LASERJET PRO 4003DN PRINTER</t>
  </si>
  <si>
    <t>EBR2024/LPO10111426</t>
  </si>
  <si>
    <t>Legal Department (Port Harcourt)</t>
  </si>
  <si>
    <t>EBR2024/LPO10111427</t>
  </si>
  <si>
    <t>EBR2024/LPO10111428</t>
  </si>
  <si>
    <t xml:space="preserve">SUPPLY OF OFFICER’S CHAIR. </t>
  </si>
  <si>
    <t>EBR2024/LPO10111429</t>
  </si>
  <si>
    <t xml:space="preserve">SUPPLY OF TWO (2) UNITS OF CANONLIDE 400 SCANNER  </t>
  </si>
  <si>
    <t>EBR2024/LPO10111430</t>
  </si>
  <si>
    <t>Technical Assistant of the Executive Director, Operations,</t>
  </si>
  <si>
    <t>SUPPLY OF HP 3-IN-1 LASERJET MFP 236DW PRINTER</t>
  </si>
  <si>
    <t>EBR2024/LPO10111431</t>
  </si>
  <si>
    <t>Executive Director, Operations</t>
  </si>
  <si>
    <t xml:space="preserve">SUPPLY OF EXECUTIVE CHAIR </t>
  </si>
  <si>
    <t>Office “R” Us </t>
  </si>
  <si>
    <t>04 March, 2025</t>
  </si>
  <si>
    <t>EBR2024/LPO10111432</t>
  </si>
  <si>
    <t xml:space="preserve">SUPPLY OF DELL TOP OF RACK SWITCHES </t>
  </si>
  <si>
    <t xml:space="preserve">Tenece Professional Service Limited </t>
  </si>
  <si>
    <t>EBR2024/LPO10111433</t>
  </si>
  <si>
    <t>Polaris Bank, Executive Office</t>
  </si>
  <si>
    <t xml:space="preserve">SUPPLY OF LEXUS TX350 2.4L TURBOCHARGED LUXURY FEATURES </t>
  </si>
  <si>
    <t>Affordable Cars Limited</t>
  </si>
  <si>
    <t>EBR2024/LPO10111434</t>
  </si>
  <si>
    <t>EBR2024/LPO10111435</t>
  </si>
  <si>
    <t>EBR2024/LPO10111436</t>
  </si>
  <si>
    <t>EBR2024/LPO10111437</t>
  </si>
  <si>
    <t>EBR2024/LPO10111438</t>
  </si>
  <si>
    <t>EBR2024/LPO10111439</t>
  </si>
  <si>
    <t>EBR2024/LPO10111440</t>
  </si>
  <si>
    <t>SUPPLY OF CONSUMABLES ITEMS</t>
  </si>
  <si>
    <t>EBR2024/LPO10111441</t>
  </si>
  <si>
    <t>SUPPLY OF HAND WASH</t>
  </si>
  <si>
    <t>Comaken Global Resources Ltd</t>
  </si>
  <si>
    <t>EBR2024/LPO10111442</t>
  </si>
  <si>
    <t>EBR2024/LPO10111443</t>
  </si>
  <si>
    <t>De-Kemmar Global Service Venture</t>
  </si>
  <si>
    <t>EBR2024/LPO10111444</t>
  </si>
  <si>
    <t>SUPPLY OF INDUSTRIAL LOOPSTRAP</t>
  </si>
  <si>
    <t>EBR2024/LPO10111445</t>
  </si>
  <si>
    <t>EBR2024/LPO10111446</t>
  </si>
  <si>
    <t>EBR2024/LPO10111447</t>
  </si>
  <si>
    <t>EBR2024/LPO10111448</t>
  </si>
  <si>
    <t>EBR2024/LPO10111449</t>
  </si>
  <si>
    <t>EBR2024/LPO10111450</t>
  </si>
  <si>
    <t>EBR2024/LPO10111451</t>
  </si>
  <si>
    <t xml:space="preserve">SUPPLY AND INSTALLATION OF 15KVA UPS SOLUTION </t>
  </si>
  <si>
    <t>EBR2024/LPO10111452</t>
  </si>
  <si>
    <t>Oba Lipede Branch</t>
  </si>
  <si>
    <t xml:space="preserve">SUPPLY OF TWO (2) UNITS OF CANONLIDE 400 SCANNER </t>
  </si>
  <si>
    <t>EBR2024/LPO10111453</t>
  </si>
  <si>
    <t>(2) Polaris Bank Locations</t>
  </si>
  <si>
    <t>SUPPLY OF OFFICE EQUIPMENT</t>
  </si>
  <si>
    <t>EBR2024/LPO10111454</t>
  </si>
  <si>
    <t>University of Ibadan Branch</t>
  </si>
  <si>
    <t>SUPPLY OF ONE (1) UNIT OF RATE BOARD</t>
  </si>
  <si>
    <t>EBR2024/LPO10111455</t>
  </si>
  <si>
    <t>Four (4) Polaris Bank Locations</t>
  </si>
  <si>
    <t xml:space="preserve">SUPPLY OF OFFICER TABLE WITH MOBILE DRAWER </t>
  </si>
  <si>
    <t>EBR2024/LPO10111456</t>
  </si>
  <si>
    <t xml:space="preserve">SUPPLY OF 3HP FLOOR STANDING DAIKINS AIR CONDITIONER  </t>
  </si>
  <si>
    <t>EBR2024/LPO10111457</t>
  </si>
  <si>
    <t xml:space="preserve">SUPPLY OF 90,000 AFRIGO CARDS  </t>
  </si>
  <si>
    <t>Electronic Payplus Limited</t>
  </si>
  <si>
    <t>EBR2024/LPO10111458</t>
  </si>
  <si>
    <t>EBR2024/LPO10111459</t>
  </si>
  <si>
    <t>EBR2024/LPO10111460</t>
  </si>
  <si>
    <t>EBR2024/LPO10111461</t>
  </si>
  <si>
    <t>EBR2024/LPO10111462</t>
  </si>
  <si>
    <t>EBR2024/LPO10111463</t>
  </si>
  <si>
    <t>EBR2024/LPO10111464</t>
  </si>
  <si>
    <t xml:space="preserve"> TOTAL PRICE   $
VAT EXCLUSIVE</t>
  </si>
  <si>
    <t>EBR2026/LPO10111465</t>
  </si>
  <si>
    <t>5 Polaris Bank Locations</t>
  </si>
  <si>
    <t xml:space="preserve">SUPPLY OF WATER DISPENSER MACHINE </t>
  </si>
  <si>
    <t>EBR2026/LPO10111466</t>
  </si>
  <si>
    <t>EBR2026/LPO10111467</t>
  </si>
  <si>
    <t>EBR2026/LPO10111468</t>
  </si>
  <si>
    <t>DH, Enterprise Business Resources</t>
  </si>
  <si>
    <t>EBR2026/LPO10111469</t>
  </si>
  <si>
    <t xml:space="preserve">SUPPLY OF 32” INCH TV SET </t>
  </si>
  <si>
    <t>EBR2026/LPO10111470</t>
  </si>
  <si>
    <t>Port Harcourt Main Branch</t>
  </si>
  <si>
    <t xml:space="preserve">SUPPLY OF CUSTOMER LUGGAGE BOX </t>
  </si>
  <si>
    <t>EBR2026/LPO10111471</t>
  </si>
  <si>
    <t xml:space="preserve">SUPPLY OF 850 GRAMMAGE CUSTOMIZED BRANDED BOX </t>
  </si>
  <si>
    <t xml:space="preserve">Carton Producers &amp; Arable </t>
  </si>
  <si>
    <t>EBR2026/LPO10111472</t>
  </si>
  <si>
    <t>GH, Internal Control</t>
  </si>
  <si>
    <t>Credenza in Laminate Finish</t>
  </si>
  <si>
    <t>GH, Central Operations</t>
  </si>
  <si>
    <t>Manager's Table</t>
  </si>
  <si>
    <t>Credenza</t>
  </si>
  <si>
    <t>Meeting Table</t>
  </si>
  <si>
    <t>EBR2026/LPO10111473</t>
  </si>
  <si>
    <t>First Floor, Churchgate Building</t>
  </si>
  <si>
    <t xml:space="preserve">UPS INPUT BOARD </t>
  </si>
  <si>
    <t>EBR2026/LPO10111474</t>
  </si>
  <si>
    <t xml:space="preserve">7AH UPS BATTERIES </t>
  </si>
  <si>
    <t>EBR2026/LPO10111475</t>
  </si>
  <si>
    <t>PROVISION OF CLOUD INFRASTRUCTURE FOR ELECTRONIC DOCUMENT MANAGEMENT SYSTEM ON AMAZON WEB SERVICES (AWS</t>
  </si>
  <si>
    <t>EBR2026/LPO10111476</t>
  </si>
  <si>
    <t>Executive Office, Akin Adesola</t>
  </si>
  <si>
    <t>WATER DISPENSER MACHINE</t>
  </si>
  <si>
    <t>Wemmy Arish Enterprises</t>
  </si>
  <si>
    <t>EBR2026/LPO10111477</t>
  </si>
  <si>
    <t>Battery Interconnection Cables</t>
  </si>
  <si>
    <t xml:space="preserve"> 7AH UPS Batteries </t>
  </si>
  <si>
    <t>EBR2026/LPO10111478</t>
  </si>
  <si>
    <t>Head, Project Management</t>
  </si>
  <si>
    <t xml:space="preserve">SUPPLY OF MANAGER’S CHAIR </t>
  </si>
  <si>
    <t>EBR2026/LPO10111479</t>
  </si>
  <si>
    <t>Toyin Street Branch</t>
  </si>
  <si>
    <t>20KVA UPS Solution</t>
  </si>
  <si>
    <t>12V - 40AH Battery</t>
  </si>
  <si>
    <t>30KVA Stabilizer</t>
  </si>
  <si>
    <t>EBR2026/LPO10111480</t>
  </si>
  <si>
    <t>EBR2026/LPO10111481</t>
  </si>
  <si>
    <t>EBR2026/LPO10111482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</si>
</sst>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b/>
      <i/>
      <sz val="10"/>
      <color theme="0"/>
      <name val="Verdana"/>
      <family val="2"/>
    </font>
    <font>
      <i/>
      <sz val="10"/>
      <color theme="1"/>
      <name val="Calibri"/>
      <family val="2"/>
      <scheme val="minor"/>
    </font>
    <font>
      <u/>
      <sz val="10"/>
      <name val="Verdana"/>
      <family val="2"/>
      <charset val="1"/>
    </font>
    <font>
      <b/>
      <sz val="10"/>
      <color theme="1"/>
      <name val="Verdana"/>
      <family val="2"/>
      <charset val="1"/>
    </font>
    <font>
      <sz val="10"/>
      <name val="Verdana"/>
      <family val="2"/>
      <charset val="1"/>
    </font>
    <font>
      <sz val="10"/>
      <color rgb="FF000000"/>
      <name val="Verdana"/>
      <family val="2"/>
      <charset val="1"/>
    </font>
    <font>
      <b/>
      <u/>
      <sz val="10"/>
      <name val="Verdana"/>
      <family val="2"/>
    </font>
    <font>
      <sz val="8"/>
      <name val="Calibri"/>
      <family val="2"/>
      <scheme val="minor"/>
    </font>
    <font>
      <sz val="10"/>
      <color theme="1"/>
      <name val="Verdana"/>
      <family val="2"/>
      <charset val="1"/>
    </font>
    <font>
      <sz val="10"/>
      <color rgb="FF000000"/>
      <name val="Verdana"/>
      <charset val="1"/>
    </font>
    <font>
      <sz val="10"/>
      <color rgb="FF000000"/>
      <name val="WordVisi_MSFontService"/>
      <charset val="1"/>
    </font>
    <font>
      <sz val="10"/>
      <name val="Verdana"/>
      <charset val="1"/>
    </font>
    <font>
      <sz val="10"/>
      <color rgb="FF000000"/>
      <name val="Verdana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10"/>
      <color rgb="FF000000"/>
      <name val="Verdana"/>
    </font>
    <font>
      <sz val="11"/>
      <color rgb="FF000000"/>
      <name val="Calibri"/>
      <scheme val="minor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2" fillId="0" borderId="1" xfId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3" fillId="0" borderId="0" xfId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1" xfId="1" applyFont="1" applyBorder="1"/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43" fontId="4" fillId="0" borderId="2" xfId="1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2" xfId="0" applyNumberFormat="1" applyBorder="1"/>
    <xf numFmtId="0" fontId="8" fillId="0" borderId="2" xfId="0" applyFont="1" applyBorder="1"/>
    <xf numFmtId="43" fontId="2" fillId="2" borderId="1" xfId="1" applyFont="1" applyFill="1" applyBorder="1" applyAlignment="1">
      <alignment vertical="center"/>
    </xf>
    <xf numFmtId="43" fontId="4" fillId="2" borderId="2" xfId="1" applyFont="1" applyFill="1" applyBorder="1"/>
    <xf numFmtId="43" fontId="0" fillId="2" borderId="2" xfId="0" applyNumberFormat="1" applyFill="1" applyBorder="1"/>
    <xf numFmtId="0" fontId="9" fillId="0" borderId="0" xfId="0" applyFont="1"/>
    <xf numFmtId="0" fontId="9" fillId="0" borderId="2" xfId="0" applyFont="1" applyBorder="1"/>
    <xf numFmtId="0" fontId="10" fillId="0" borderId="2" xfId="0" applyFont="1" applyBorder="1"/>
    <xf numFmtId="43" fontId="0" fillId="0" borderId="2" xfId="0" applyNumberForma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4" fillId="0" borderId="1" xfId="0" applyFont="1" applyBorder="1"/>
    <xf numFmtId="43" fontId="1" fillId="0" borderId="1" xfId="1" applyFont="1" applyBorder="1"/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43" fontId="6" fillId="3" borderId="1" xfId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left" vertical="center"/>
    </xf>
    <xf numFmtId="43" fontId="0" fillId="0" borderId="1" xfId="0" applyNumberFormat="1" applyBorder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43" fontId="6" fillId="3" borderId="2" xfId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43" fontId="6" fillId="3" borderId="1" xfId="1" applyFont="1" applyFill="1" applyBorder="1" applyAlignment="1" applyProtection="1">
      <alignment vertical="center" wrapText="1"/>
      <protection locked="0"/>
    </xf>
    <xf numFmtId="15" fontId="0" fillId="0" borderId="0" xfId="0" applyNumberFormat="1"/>
    <xf numFmtId="8" fontId="0" fillId="0" borderId="0" xfId="0" applyNumberFormat="1"/>
    <xf numFmtId="0" fontId="15" fillId="0" borderId="0" xfId="0" applyFont="1"/>
    <xf numFmtId="3" fontId="0" fillId="0" borderId="0" xfId="0" applyNumberFormat="1" applyAlignment="1">
      <alignment horizontal="center"/>
    </xf>
    <xf numFmtId="0" fontId="16" fillId="0" borderId="0" xfId="0" applyFont="1"/>
    <xf numFmtId="0" fontId="17" fillId="0" borderId="0" xfId="0" applyFont="1"/>
    <xf numFmtId="0" fontId="19" fillId="0" borderId="0" xfId="0" applyFont="1"/>
    <xf numFmtId="0" fontId="0" fillId="4" borderId="0" xfId="0" applyFill="1"/>
    <xf numFmtId="43" fontId="0" fillId="0" borderId="0" xfId="0" applyNumberFormat="1" applyAlignment="1">
      <alignment horizontal="center"/>
    </xf>
    <xf numFmtId="43" fontId="6" fillId="5" borderId="1" xfId="1" applyFont="1" applyFill="1" applyBorder="1" applyAlignment="1" applyProtection="1">
      <alignment vertical="center" wrapText="1"/>
      <protection locked="0"/>
    </xf>
    <xf numFmtId="43" fontId="21" fillId="0" borderId="0" xfId="0" applyNumberFormat="1" applyFont="1"/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15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18" fillId="0" borderId="1" xfId="0" applyFont="1" applyBorder="1"/>
    <xf numFmtId="15" fontId="15" fillId="0" borderId="1" xfId="0" applyNumberFormat="1" applyFont="1" applyBorder="1"/>
    <xf numFmtId="0" fontId="15" fillId="0" borderId="1" xfId="0" applyFont="1" applyBorder="1"/>
    <xf numFmtId="43" fontId="15" fillId="0" borderId="1" xfId="0" applyNumberFormat="1" applyFont="1" applyBorder="1"/>
    <xf numFmtId="0" fontId="17" fillId="0" borderId="1" xfId="0" applyFont="1" applyBorder="1"/>
    <xf numFmtId="4" fontId="20" fillId="0" borderId="1" xfId="0" applyNumberFormat="1" applyFont="1" applyBorder="1"/>
    <xf numFmtId="3" fontId="0" fillId="0" borderId="1" xfId="0" applyNumberFormat="1" applyBorder="1" applyAlignment="1">
      <alignment horizontal="center"/>
    </xf>
    <xf numFmtId="6" fontId="0" fillId="0" borderId="1" xfId="0" applyNumberFormat="1" applyBorder="1"/>
    <xf numFmtId="8" fontId="0" fillId="0" borderId="1" xfId="0" applyNumberFormat="1" applyBorder="1"/>
    <xf numFmtId="4" fontId="0" fillId="0" borderId="0" xfId="0" applyNumberFormat="1"/>
    <xf numFmtId="14" fontId="0" fillId="0" borderId="0" xfId="0" applyNumberFormat="1"/>
    <xf numFmtId="17" fontId="0" fillId="0" borderId="0" xfId="0" applyNumberFormat="1"/>
    <xf numFmtId="3" fontId="0" fillId="0" borderId="0" xfId="0" applyNumberFormat="1"/>
    <xf numFmtId="0" fontId="20" fillId="0" borderId="1" xfId="0" applyFont="1" applyBorder="1"/>
    <xf numFmtId="0" fontId="20" fillId="0" borderId="3" xfId="0" applyFont="1" applyBorder="1"/>
    <xf numFmtId="4" fontId="20" fillId="0" borderId="4" xfId="0" applyNumberFormat="1" applyFont="1" applyBorder="1"/>
    <xf numFmtId="4" fontId="20" fillId="0" borderId="5" xfId="0" applyNumberFormat="1" applyFont="1" applyBorder="1"/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1" applyFont="1" applyFill="1" applyBorder="1" applyAlignment="1" applyProtection="1">
      <alignment vertical="center" wrapText="1"/>
      <protection locked="0"/>
    </xf>
    <xf numFmtId="15" fontId="0" fillId="0" borderId="2" xfId="0" applyNumberFormat="1" applyBorder="1"/>
    <xf numFmtId="0" fontId="20" fillId="0" borderId="2" xfId="0" applyFont="1" applyBorder="1"/>
    <xf numFmtId="4" fontId="20" fillId="0" borderId="2" xfId="0" applyNumberFormat="1" applyFont="1" applyBorder="1"/>
    <xf numFmtId="15" fontId="0" fillId="0" borderId="2" xfId="0" applyNumberFormat="1" applyBorder="1" applyAlignment="1">
      <alignment vertical="center"/>
    </xf>
    <xf numFmtId="4" fontId="0" fillId="0" borderId="2" xfId="0" applyNumberFormat="1" applyBorder="1"/>
    <xf numFmtId="4" fontId="20" fillId="0" borderId="3" xfId="0" applyNumberFormat="1" applyFont="1" applyBorder="1"/>
    <xf numFmtId="4" fontId="24" fillId="0" borderId="1" xfId="0" applyNumberFormat="1" applyFont="1" applyBorder="1"/>
    <xf numFmtId="4" fontId="24" fillId="0" borderId="3" xfId="0" applyNumberFormat="1" applyFont="1" applyBorder="1"/>
    <xf numFmtId="43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zoomScaleNormal="100" workbookViewId="0">
      <pane ySplit="2" topLeftCell="E3" activePane="bottomLeft" state="frozen"/>
      <selection pane="bottomLeft" activeCell="E1" sqref="A1:XFD1048576"/>
      <selection activeCell="D1" sqref="D1"/>
    </sheetView>
  </sheetViews>
  <sheetFormatPr defaultColWidth="8.7109375" defaultRowHeight="12.75"/>
  <cols>
    <col min="1" max="1" width="5.140625" style="3" bestFit="1" customWidth="1"/>
    <col min="2" max="2" width="20.140625" style="10" bestFit="1" customWidth="1"/>
    <col min="3" max="3" width="22.7109375" style="10" bestFit="1" customWidth="1"/>
    <col min="4" max="4" width="36.85546875" style="10" bestFit="1" customWidth="1"/>
    <col min="5" max="5" width="42" style="10" bestFit="1" customWidth="1"/>
    <col min="6" max="6" width="107.85546875" style="3" bestFit="1" customWidth="1"/>
    <col min="7" max="7" width="25.42578125" style="11" bestFit="1" customWidth="1"/>
    <col min="8" max="8" width="9.28515625" style="10" bestFit="1" customWidth="1"/>
    <col min="9" max="9" width="20.5703125" style="9" customWidth="1"/>
    <col min="10" max="10" width="18" style="9" customWidth="1"/>
    <col min="11" max="16384" width="8.7109375" style="3"/>
  </cols>
  <sheetData>
    <row r="1" spans="1:10" s="19" customFormat="1" ht="38.2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8" t="s">
        <v>8</v>
      </c>
      <c r="J1" s="48" t="s">
        <v>9</v>
      </c>
    </row>
    <row r="2" spans="1:10">
      <c r="A2" s="5">
        <v>1</v>
      </c>
      <c r="B2" s="4">
        <v>45717</v>
      </c>
      <c r="C2" s="4">
        <v>45839</v>
      </c>
      <c r="D2" s="5" t="s">
        <v>10</v>
      </c>
      <c r="E2" s="5" t="s">
        <v>11</v>
      </c>
      <c r="F2" s="1" t="s">
        <v>12</v>
      </c>
      <c r="G2" s="6" t="s">
        <v>13</v>
      </c>
      <c r="H2" s="5">
        <v>3</v>
      </c>
      <c r="I2" s="7">
        <v>575000</v>
      </c>
      <c r="J2" s="32">
        <v>1854375</v>
      </c>
    </row>
    <row r="3" spans="1:10">
      <c r="A3" s="5">
        <v>2</v>
      </c>
      <c r="B3" s="4">
        <v>45717</v>
      </c>
      <c r="C3" s="4">
        <v>45839</v>
      </c>
      <c r="D3" s="5" t="s">
        <v>14</v>
      </c>
      <c r="E3" s="5" t="s">
        <v>15</v>
      </c>
      <c r="F3" s="1" t="s">
        <v>16</v>
      </c>
      <c r="G3" s="6" t="s">
        <v>17</v>
      </c>
      <c r="H3" s="5">
        <v>1</v>
      </c>
      <c r="I3" s="7">
        <v>1195000</v>
      </c>
      <c r="J3" s="32">
        <v>1284625</v>
      </c>
    </row>
    <row r="4" spans="1:10">
      <c r="A4" s="5">
        <v>3</v>
      </c>
      <c r="B4" s="4">
        <v>45717</v>
      </c>
      <c r="C4" s="5" t="s">
        <v>18</v>
      </c>
      <c r="D4" s="5" t="s">
        <v>19</v>
      </c>
      <c r="E4" s="5" t="s">
        <v>20</v>
      </c>
      <c r="F4" s="1" t="s">
        <v>21</v>
      </c>
      <c r="G4" s="6" t="s">
        <v>22</v>
      </c>
      <c r="H4" s="5">
        <v>20</v>
      </c>
      <c r="I4" s="7">
        <v>328000</v>
      </c>
      <c r="J4" s="7">
        <v>7152000</v>
      </c>
    </row>
    <row r="5" spans="1:10">
      <c r="A5" s="5">
        <v>4</v>
      </c>
      <c r="B5" s="4">
        <v>45717</v>
      </c>
      <c r="C5" s="4">
        <v>45839</v>
      </c>
      <c r="D5" s="5" t="s">
        <v>23</v>
      </c>
      <c r="E5" s="5" t="s">
        <v>24</v>
      </c>
      <c r="F5" s="1" t="s">
        <v>25</v>
      </c>
      <c r="G5" s="6" t="s">
        <v>26</v>
      </c>
      <c r="H5" s="5">
        <v>1</v>
      </c>
      <c r="I5" s="7">
        <v>2250000</v>
      </c>
      <c r="J5" s="32">
        <v>2418750</v>
      </c>
    </row>
    <row r="6" spans="1:10" s="17" customFormat="1">
      <c r="A6" s="5">
        <v>5</v>
      </c>
      <c r="B6" s="5"/>
      <c r="C6" s="5"/>
      <c r="D6" s="5" t="s">
        <v>27</v>
      </c>
      <c r="E6" s="5"/>
      <c r="F6" s="2"/>
      <c r="G6" s="6"/>
      <c r="H6" s="5"/>
      <c r="I6" s="7"/>
      <c r="J6" s="7"/>
    </row>
    <row r="7" spans="1:10">
      <c r="A7" s="5">
        <v>6</v>
      </c>
      <c r="B7" s="5" t="s">
        <v>28</v>
      </c>
      <c r="C7" s="5" t="s">
        <v>29</v>
      </c>
      <c r="D7" s="5" t="s">
        <v>30</v>
      </c>
      <c r="E7" s="5" t="s">
        <v>31</v>
      </c>
      <c r="F7" s="1" t="s">
        <v>32</v>
      </c>
      <c r="G7" s="6" t="s">
        <v>33</v>
      </c>
      <c r="H7" s="5" t="s">
        <v>34</v>
      </c>
      <c r="I7" s="7">
        <v>2429500</v>
      </c>
      <c r="J7" s="7">
        <v>2429500</v>
      </c>
    </row>
    <row r="8" spans="1:10">
      <c r="A8" s="5">
        <v>7</v>
      </c>
      <c r="B8" s="4">
        <v>45809</v>
      </c>
      <c r="C8" s="5" t="s">
        <v>35</v>
      </c>
      <c r="D8" s="5" t="s">
        <v>36</v>
      </c>
      <c r="E8" s="5" t="s">
        <v>37</v>
      </c>
      <c r="F8" s="2" t="s">
        <v>38</v>
      </c>
      <c r="G8" s="6" t="s">
        <v>39</v>
      </c>
      <c r="H8" s="5">
        <v>79</v>
      </c>
      <c r="I8" s="7">
        <v>300000</v>
      </c>
      <c r="J8" s="7">
        <v>26821250</v>
      </c>
    </row>
    <row r="9" spans="1:10">
      <c r="A9" s="5">
        <v>8</v>
      </c>
      <c r="B9" s="4">
        <v>45809</v>
      </c>
      <c r="C9" s="5" t="s">
        <v>35</v>
      </c>
      <c r="D9" s="5" t="s">
        <v>40</v>
      </c>
      <c r="E9" s="5" t="s">
        <v>41</v>
      </c>
      <c r="F9" s="2" t="s">
        <v>42</v>
      </c>
      <c r="G9" s="6" t="s">
        <v>43</v>
      </c>
      <c r="H9" s="5">
        <v>20</v>
      </c>
      <c r="I9" s="7">
        <v>363000</v>
      </c>
      <c r="J9" s="7">
        <v>8342000</v>
      </c>
    </row>
    <row r="10" spans="1:10">
      <c r="A10" s="5">
        <v>9</v>
      </c>
      <c r="B10" s="4">
        <v>45870</v>
      </c>
      <c r="C10" s="4">
        <v>45994</v>
      </c>
      <c r="D10" s="5" t="s">
        <v>44</v>
      </c>
      <c r="E10" s="5" t="s">
        <v>45</v>
      </c>
      <c r="F10" s="1" t="s">
        <v>46</v>
      </c>
      <c r="G10" s="6" t="s">
        <v>47</v>
      </c>
      <c r="H10" s="5" t="s">
        <v>34</v>
      </c>
      <c r="I10" s="7">
        <v>8198826.6200000001</v>
      </c>
      <c r="J10" s="7">
        <v>8198826.6200000001</v>
      </c>
    </row>
    <row r="11" spans="1:10">
      <c r="A11" s="5">
        <v>10</v>
      </c>
      <c r="B11" s="5" t="s">
        <v>48</v>
      </c>
      <c r="C11" s="5" t="s">
        <v>49</v>
      </c>
      <c r="D11" s="5" t="s">
        <v>50</v>
      </c>
      <c r="E11" s="5" t="s">
        <v>31</v>
      </c>
      <c r="F11" s="2" t="s">
        <v>51</v>
      </c>
      <c r="G11" s="6" t="s">
        <v>52</v>
      </c>
      <c r="H11" s="5">
        <v>40</v>
      </c>
      <c r="I11" s="7">
        <v>705950</v>
      </c>
      <c r="J11" s="7">
        <v>30355850</v>
      </c>
    </row>
    <row r="12" spans="1:10">
      <c r="A12" s="5">
        <v>11</v>
      </c>
      <c r="B12" s="5" t="s">
        <v>29</v>
      </c>
      <c r="C12" s="5" t="s">
        <v>53</v>
      </c>
      <c r="D12" s="5" t="s">
        <v>54</v>
      </c>
      <c r="E12" s="5" t="s">
        <v>31</v>
      </c>
      <c r="F12" s="2" t="s">
        <v>55</v>
      </c>
      <c r="G12" s="6" t="s">
        <v>56</v>
      </c>
      <c r="H12" s="5">
        <v>2000000</v>
      </c>
      <c r="I12" s="7">
        <v>81740000</v>
      </c>
      <c r="J12" s="7">
        <v>81740000</v>
      </c>
    </row>
    <row r="13" spans="1:10">
      <c r="A13" s="5">
        <v>12</v>
      </c>
      <c r="B13" s="5" t="s">
        <v>35</v>
      </c>
      <c r="C13" s="5" t="s">
        <v>57</v>
      </c>
      <c r="D13" s="5" t="s">
        <v>58</v>
      </c>
      <c r="E13" s="5" t="s">
        <v>59</v>
      </c>
      <c r="F13" s="2" t="s">
        <v>42</v>
      </c>
      <c r="G13" s="6" t="s">
        <v>22</v>
      </c>
      <c r="H13" s="5">
        <v>3</v>
      </c>
      <c r="I13" s="8">
        <v>370000</v>
      </c>
      <c r="J13" s="7">
        <v>1253250</v>
      </c>
    </row>
    <row r="14" spans="1:10">
      <c r="A14" s="5">
        <v>13</v>
      </c>
      <c r="B14" s="103" t="s">
        <v>35</v>
      </c>
      <c r="C14" s="103" t="s">
        <v>60</v>
      </c>
      <c r="D14" s="103" t="s">
        <v>61</v>
      </c>
      <c r="E14" s="103" t="s">
        <v>62</v>
      </c>
      <c r="F14" s="2" t="s">
        <v>63</v>
      </c>
      <c r="G14" s="104" t="s">
        <v>64</v>
      </c>
      <c r="H14" s="5">
        <v>2</v>
      </c>
      <c r="I14" s="7">
        <v>1230000</v>
      </c>
      <c r="J14" s="102">
        <v>3531375</v>
      </c>
    </row>
    <row r="15" spans="1:10">
      <c r="A15" s="5">
        <v>14</v>
      </c>
      <c r="B15" s="103"/>
      <c r="C15" s="103"/>
      <c r="D15" s="103"/>
      <c r="E15" s="103"/>
      <c r="F15" s="2" t="s">
        <v>65</v>
      </c>
      <c r="G15" s="104"/>
      <c r="H15" s="5">
        <v>1</v>
      </c>
      <c r="I15" s="7">
        <v>825000</v>
      </c>
      <c r="J15" s="102"/>
    </row>
    <row r="16" spans="1:10">
      <c r="A16" s="5">
        <v>15</v>
      </c>
      <c r="B16" s="5" t="s">
        <v>35</v>
      </c>
      <c r="C16" s="4">
        <v>45963</v>
      </c>
      <c r="D16" s="5" t="s">
        <v>66</v>
      </c>
      <c r="E16" s="5" t="s">
        <v>31</v>
      </c>
      <c r="F16" s="2" t="s">
        <v>67</v>
      </c>
      <c r="G16" s="6" t="s">
        <v>68</v>
      </c>
      <c r="H16" s="5" t="s">
        <v>69</v>
      </c>
      <c r="I16" s="7">
        <v>78453070</v>
      </c>
      <c r="J16" s="7">
        <v>78453070</v>
      </c>
    </row>
    <row r="17" spans="1:10">
      <c r="A17" s="5">
        <v>16</v>
      </c>
      <c r="B17" s="5" t="s">
        <v>60</v>
      </c>
      <c r="C17" s="5" t="s">
        <v>70</v>
      </c>
      <c r="D17" s="5" t="s">
        <v>71</v>
      </c>
      <c r="E17" s="5" t="s">
        <v>72</v>
      </c>
      <c r="F17" s="2" t="s">
        <v>73</v>
      </c>
      <c r="G17" s="6" t="s">
        <v>74</v>
      </c>
      <c r="H17" s="5" t="s">
        <v>69</v>
      </c>
      <c r="I17" s="7">
        <v>2415525</v>
      </c>
      <c r="J17" s="32">
        <v>2415525</v>
      </c>
    </row>
    <row r="18" spans="1:10">
      <c r="A18" s="5">
        <v>17</v>
      </c>
      <c r="B18" s="5" t="s">
        <v>60</v>
      </c>
      <c r="C18" s="5" t="s">
        <v>70</v>
      </c>
      <c r="D18" s="5" t="s">
        <v>75</v>
      </c>
      <c r="E18" s="5" t="s">
        <v>76</v>
      </c>
      <c r="F18" s="2" t="s">
        <v>77</v>
      </c>
      <c r="G18" s="6" t="s">
        <v>78</v>
      </c>
      <c r="H18" s="5">
        <v>8</v>
      </c>
      <c r="I18" s="7">
        <v>195000</v>
      </c>
      <c r="J18" s="32">
        <v>1677000</v>
      </c>
    </row>
    <row r="19" spans="1:10">
      <c r="A19" s="5">
        <v>18</v>
      </c>
      <c r="B19" s="5" t="s">
        <v>60</v>
      </c>
      <c r="C19" s="5" t="s">
        <v>79</v>
      </c>
      <c r="D19" s="5" t="s">
        <v>80</v>
      </c>
      <c r="E19" s="5" t="s">
        <v>72</v>
      </c>
      <c r="F19" s="2" t="s">
        <v>81</v>
      </c>
      <c r="G19" s="6" t="s">
        <v>82</v>
      </c>
      <c r="H19" s="5" t="s">
        <v>69</v>
      </c>
      <c r="I19" s="7">
        <v>3300000</v>
      </c>
      <c r="J19" s="7">
        <v>3300000</v>
      </c>
    </row>
    <row r="20" spans="1:10">
      <c r="A20" s="5">
        <v>19</v>
      </c>
      <c r="B20" s="5" t="s">
        <v>60</v>
      </c>
      <c r="C20" s="5" t="s">
        <v>79</v>
      </c>
      <c r="D20" s="5" t="s">
        <v>83</v>
      </c>
      <c r="E20" s="5" t="s">
        <v>72</v>
      </c>
      <c r="F20" s="2" t="s">
        <v>84</v>
      </c>
      <c r="G20" s="6" t="s">
        <v>85</v>
      </c>
      <c r="H20" s="5" t="s">
        <v>69</v>
      </c>
      <c r="I20" s="7">
        <v>3350000</v>
      </c>
      <c r="J20" s="7">
        <v>3350000</v>
      </c>
    </row>
    <row r="21" spans="1:10">
      <c r="A21" s="5">
        <v>20</v>
      </c>
      <c r="B21" s="5" t="s">
        <v>60</v>
      </c>
      <c r="C21" s="5" t="s">
        <v>79</v>
      </c>
      <c r="D21" s="5" t="s">
        <v>86</v>
      </c>
      <c r="E21" s="5" t="s">
        <v>72</v>
      </c>
      <c r="F21" s="2" t="s">
        <v>84</v>
      </c>
      <c r="G21" s="6" t="s">
        <v>87</v>
      </c>
      <c r="H21" s="5" t="s">
        <v>69</v>
      </c>
      <c r="I21" s="7">
        <v>2580000</v>
      </c>
      <c r="J21" s="7">
        <v>2580000</v>
      </c>
    </row>
    <row r="22" spans="1:10">
      <c r="A22" s="5">
        <v>21</v>
      </c>
      <c r="B22" s="5" t="s">
        <v>60</v>
      </c>
      <c r="C22" s="5" t="s">
        <v>79</v>
      </c>
      <c r="D22" s="5" t="s">
        <v>88</v>
      </c>
      <c r="E22" s="5" t="s">
        <v>72</v>
      </c>
      <c r="F22" s="2" t="s">
        <v>84</v>
      </c>
      <c r="G22" s="6" t="s">
        <v>89</v>
      </c>
      <c r="H22" s="5" t="s">
        <v>69</v>
      </c>
      <c r="I22" s="7">
        <v>1650000</v>
      </c>
      <c r="J22" s="7">
        <v>1650000</v>
      </c>
    </row>
    <row r="23" spans="1:10">
      <c r="A23" s="5">
        <v>22</v>
      </c>
      <c r="B23" s="5" t="s">
        <v>60</v>
      </c>
      <c r="C23" s="5" t="s">
        <v>79</v>
      </c>
      <c r="D23" s="5" t="s">
        <v>90</v>
      </c>
      <c r="E23" s="5" t="s">
        <v>72</v>
      </c>
      <c r="F23" s="2" t="s">
        <v>84</v>
      </c>
      <c r="G23" s="6" t="s">
        <v>91</v>
      </c>
      <c r="H23" s="5" t="s">
        <v>69</v>
      </c>
      <c r="I23" s="7">
        <v>1006343</v>
      </c>
      <c r="J23" s="7">
        <v>1006343</v>
      </c>
    </row>
    <row r="24" spans="1:10">
      <c r="A24" s="5">
        <v>23</v>
      </c>
      <c r="B24" s="5" t="s">
        <v>92</v>
      </c>
      <c r="C24" s="4">
        <v>45810</v>
      </c>
      <c r="D24" s="5" t="s">
        <v>93</v>
      </c>
      <c r="E24" s="5" t="s">
        <v>94</v>
      </c>
      <c r="F24" s="2" t="s">
        <v>95</v>
      </c>
      <c r="G24" s="6" t="s">
        <v>96</v>
      </c>
      <c r="H24" s="5" t="s">
        <v>69</v>
      </c>
      <c r="I24" s="7">
        <v>13750000</v>
      </c>
      <c r="J24" s="7">
        <v>13750000</v>
      </c>
    </row>
    <row r="25" spans="1:10">
      <c r="A25" s="5">
        <v>24</v>
      </c>
      <c r="B25" s="5" t="s">
        <v>92</v>
      </c>
      <c r="C25" s="4">
        <v>45810</v>
      </c>
      <c r="D25" s="5" t="s">
        <v>97</v>
      </c>
      <c r="E25" s="5" t="s">
        <v>94</v>
      </c>
      <c r="F25" s="2" t="s">
        <v>95</v>
      </c>
      <c r="G25" s="6" t="s">
        <v>98</v>
      </c>
      <c r="H25" s="5" t="s">
        <v>69</v>
      </c>
      <c r="I25" s="7">
        <v>9976875</v>
      </c>
      <c r="J25" s="7">
        <v>9976875</v>
      </c>
    </row>
    <row r="26" spans="1:10">
      <c r="A26" s="5">
        <v>25</v>
      </c>
      <c r="B26" s="5" t="s">
        <v>92</v>
      </c>
      <c r="C26" s="4">
        <v>45810</v>
      </c>
      <c r="D26" s="5" t="s">
        <v>99</v>
      </c>
      <c r="E26" s="5" t="s">
        <v>94</v>
      </c>
      <c r="F26" s="2" t="s">
        <v>95</v>
      </c>
      <c r="G26" s="6" t="s">
        <v>100</v>
      </c>
      <c r="H26" s="5" t="s">
        <v>69</v>
      </c>
      <c r="I26" s="7">
        <v>5390000</v>
      </c>
      <c r="J26" s="7">
        <v>5390000</v>
      </c>
    </row>
    <row r="27" spans="1:10">
      <c r="A27" s="5">
        <v>26</v>
      </c>
      <c r="B27" s="5" t="s">
        <v>92</v>
      </c>
      <c r="C27" s="4" t="s">
        <v>101</v>
      </c>
      <c r="D27" s="5" t="s">
        <v>102</v>
      </c>
      <c r="E27" s="5" t="s">
        <v>94</v>
      </c>
      <c r="F27" s="2" t="s">
        <v>95</v>
      </c>
      <c r="G27" s="6" t="s">
        <v>103</v>
      </c>
      <c r="H27" s="5" t="s">
        <v>69</v>
      </c>
      <c r="I27" s="7">
        <v>5923300</v>
      </c>
      <c r="J27" s="7">
        <v>5923300</v>
      </c>
    </row>
    <row r="28" spans="1:10">
      <c r="A28" s="5">
        <v>27</v>
      </c>
      <c r="B28" s="5" t="s">
        <v>92</v>
      </c>
      <c r="C28" s="4">
        <v>45810</v>
      </c>
      <c r="D28" s="5" t="s">
        <v>104</v>
      </c>
      <c r="E28" s="5" t="s">
        <v>94</v>
      </c>
      <c r="F28" s="2" t="s">
        <v>95</v>
      </c>
      <c r="G28" s="6" t="s">
        <v>105</v>
      </c>
      <c r="H28" s="5" t="s">
        <v>69</v>
      </c>
      <c r="I28" s="7">
        <v>1924500</v>
      </c>
      <c r="J28" s="7">
        <v>1924500</v>
      </c>
    </row>
    <row r="29" spans="1:10">
      <c r="A29" s="5">
        <v>28</v>
      </c>
      <c r="B29" s="5" t="s">
        <v>92</v>
      </c>
      <c r="C29" s="4">
        <v>45810</v>
      </c>
      <c r="D29" s="5" t="s">
        <v>106</v>
      </c>
      <c r="E29" s="5" t="s">
        <v>94</v>
      </c>
      <c r="F29" s="2" t="s">
        <v>95</v>
      </c>
      <c r="G29" s="6" t="s">
        <v>107</v>
      </c>
      <c r="H29" s="5" t="s">
        <v>69</v>
      </c>
      <c r="I29" s="7">
        <v>6200000</v>
      </c>
      <c r="J29" s="7">
        <v>6200000</v>
      </c>
    </row>
    <row r="30" spans="1:10">
      <c r="A30" s="5">
        <v>29</v>
      </c>
      <c r="B30" s="13" t="s">
        <v>108</v>
      </c>
      <c r="C30" s="13" t="s">
        <v>109</v>
      </c>
      <c r="D30" s="5" t="s">
        <v>110</v>
      </c>
      <c r="E30" s="13" t="s">
        <v>111</v>
      </c>
      <c r="F30" s="12" t="s">
        <v>46</v>
      </c>
      <c r="G30" s="14" t="s">
        <v>47</v>
      </c>
      <c r="H30" s="13" t="s">
        <v>69</v>
      </c>
      <c r="I30" s="15">
        <v>4099413.31</v>
      </c>
      <c r="J30" s="15">
        <v>4099413.31</v>
      </c>
    </row>
    <row r="31" spans="1:10">
      <c r="A31" s="5">
        <v>30</v>
      </c>
      <c r="B31" s="13" t="s">
        <v>108</v>
      </c>
      <c r="C31" s="16">
        <v>45810</v>
      </c>
      <c r="D31" s="5" t="s">
        <v>112</v>
      </c>
      <c r="E31" s="5" t="s">
        <v>94</v>
      </c>
      <c r="F31" s="12" t="s">
        <v>113</v>
      </c>
      <c r="G31" s="14" t="s">
        <v>114</v>
      </c>
      <c r="H31" s="13" t="s">
        <v>69</v>
      </c>
      <c r="I31" s="15">
        <v>3883000</v>
      </c>
      <c r="J31" s="15">
        <f t="shared" ref="J31:J37" si="0">I31</f>
        <v>3883000</v>
      </c>
    </row>
    <row r="32" spans="1:10">
      <c r="A32" s="5">
        <v>31</v>
      </c>
      <c r="B32" s="13" t="s">
        <v>49</v>
      </c>
      <c r="C32" s="16">
        <v>45718</v>
      </c>
      <c r="D32" s="5" t="s">
        <v>115</v>
      </c>
      <c r="E32" s="5" t="s">
        <v>94</v>
      </c>
      <c r="F32" s="12" t="s">
        <v>113</v>
      </c>
      <c r="G32" s="14" t="s">
        <v>116</v>
      </c>
      <c r="H32" s="13"/>
      <c r="I32" s="15">
        <v>6720000</v>
      </c>
      <c r="J32" s="15">
        <f t="shared" si="0"/>
        <v>6720000</v>
      </c>
    </row>
    <row r="33" spans="1:10">
      <c r="A33" s="5">
        <v>32</v>
      </c>
      <c r="B33" s="13" t="s">
        <v>49</v>
      </c>
      <c r="C33" s="16">
        <v>45718</v>
      </c>
      <c r="D33" s="5" t="s">
        <v>117</v>
      </c>
      <c r="E33" s="5" t="s">
        <v>94</v>
      </c>
      <c r="F33" s="12" t="s">
        <v>118</v>
      </c>
      <c r="G33" s="14" t="s">
        <v>119</v>
      </c>
      <c r="H33" s="13" t="s">
        <v>69</v>
      </c>
      <c r="I33" s="15">
        <v>2566268</v>
      </c>
      <c r="J33" s="15">
        <f t="shared" si="0"/>
        <v>2566268</v>
      </c>
    </row>
    <row r="34" spans="1:10">
      <c r="A34" s="5">
        <v>33</v>
      </c>
      <c r="B34" s="13" t="s">
        <v>49</v>
      </c>
      <c r="C34" s="16">
        <v>45718</v>
      </c>
      <c r="D34" s="5" t="s">
        <v>120</v>
      </c>
      <c r="E34" s="5" t="s">
        <v>94</v>
      </c>
      <c r="F34" s="12" t="s">
        <v>121</v>
      </c>
      <c r="G34" s="14" t="s">
        <v>122</v>
      </c>
      <c r="H34" s="13" t="s">
        <v>69</v>
      </c>
      <c r="I34" s="15">
        <v>3030000</v>
      </c>
      <c r="J34" s="15">
        <f t="shared" si="0"/>
        <v>3030000</v>
      </c>
    </row>
    <row r="35" spans="1:10">
      <c r="A35" s="5">
        <v>34</v>
      </c>
      <c r="B35" s="13" t="s">
        <v>49</v>
      </c>
      <c r="C35" s="16">
        <v>45840</v>
      </c>
      <c r="D35" s="5" t="s">
        <v>123</v>
      </c>
      <c r="E35" s="5" t="s">
        <v>94</v>
      </c>
      <c r="F35" s="12" t="s">
        <v>113</v>
      </c>
      <c r="G35" s="14" t="s">
        <v>124</v>
      </c>
      <c r="H35" s="13" t="s">
        <v>69</v>
      </c>
      <c r="I35" s="15">
        <v>1206300</v>
      </c>
      <c r="J35" s="15">
        <f t="shared" si="0"/>
        <v>1206300</v>
      </c>
    </row>
    <row r="36" spans="1:10">
      <c r="A36" s="5">
        <v>35</v>
      </c>
      <c r="B36" s="13" t="s">
        <v>49</v>
      </c>
      <c r="C36" s="16">
        <v>45840</v>
      </c>
      <c r="D36" s="5" t="s">
        <v>125</v>
      </c>
      <c r="E36" s="5" t="s">
        <v>94</v>
      </c>
      <c r="F36" s="12" t="s">
        <v>113</v>
      </c>
      <c r="G36" s="14" t="s">
        <v>126</v>
      </c>
      <c r="H36" s="13" t="s">
        <v>69</v>
      </c>
      <c r="I36" s="15">
        <v>1905000</v>
      </c>
      <c r="J36" s="15">
        <f t="shared" si="0"/>
        <v>1905000</v>
      </c>
    </row>
    <row r="37" spans="1:10">
      <c r="A37" s="5">
        <v>36</v>
      </c>
      <c r="B37" s="13" t="s">
        <v>49</v>
      </c>
      <c r="C37" s="16">
        <v>45718</v>
      </c>
      <c r="D37" s="5" t="s">
        <v>127</v>
      </c>
      <c r="E37" s="5" t="s">
        <v>94</v>
      </c>
      <c r="F37" s="12" t="s">
        <v>113</v>
      </c>
      <c r="G37" s="14" t="s">
        <v>128</v>
      </c>
      <c r="H37" s="13" t="s">
        <v>69</v>
      </c>
      <c r="I37" s="15">
        <v>7805000</v>
      </c>
      <c r="J37" s="15">
        <f t="shared" si="0"/>
        <v>7805000</v>
      </c>
    </row>
    <row r="38" spans="1:10">
      <c r="A38" s="5">
        <v>37</v>
      </c>
      <c r="B38" s="13" t="s">
        <v>49</v>
      </c>
      <c r="C38" s="16">
        <v>45718</v>
      </c>
      <c r="D38" s="5" t="s">
        <v>129</v>
      </c>
      <c r="E38" s="5" t="s">
        <v>94</v>
      </c>
      <c r="F38" s="12" t="s">
        <v>113</v>
      </c>
      <c r="G38" s="14" t="s">
        <v>130</v>
      </c>
      <c r="H38" s="13">
        <v>200</v>
      </c>
      <c r="I38" s="15">
        <v>6020</v>
      </c>
      <c r="J38" s="15">
        <v>1204000</v>
      </c>
    </row>
    <row r="39" spans="1:10">
      <c r="A39" s="5">
        <v>38</v>
      </c>
      <c r="B39" s="13" t="s">
        <v>49</v>
      </c>
      <c r="C39" s="16">
        <v>45718</v>
      </c>
      <c r="D39" s="5" t="s">
        <v>131</v>
      </c>
      <c r="E39" s="13" t="s">
        <v>94</v>
      </c>
      <c r="F39" s="12" t="s">
        <v>132</v>
      </c>
      <c r="G39" s="14" t="s">
        <v>133</v>
      </c>
      <c r="H39" s="13">
        <v>1500</v>
      </c>
      <c r="I39" s="15">
        <v>1700</v>
      </c>
      <c r="J39" s="15">
        <v>2550000</v>
      </c>
    </row>
    <row r="40" spans="1:10">
      <c r="A40" s="5">
        <v>39</v>
      </c>
      <c r="B40" s="13" t="s">
        <v>49</v>
      </c>
      <c r="C40" s="16">
        <v>45840</v>
      </c>
      <c r="D40" s="5" t="s">
        <v>134</v>
      </c>
      <c r="E40" s="13" t="s">
        <v>94</v>
      </c>
      <c r="F40" s="12" t="s">
        <v>113</v>
      </c>
      <c r="G40" s="14" t="s">
        <v>135</v>
      </c>
      <c r="H40" s="13" t="s">
        <v>69</v>
      </c>
      <c r="I40" s="15">
        <v>2763150</v>
      </c>
      <c r="J40" s="15">
        <f>I40</f>
        <v>2763150</v>
      </c>
    </row>
    <row r="41" spans="1:10">
      <c r="A41" s="5">
        <v>40</v>
      </c>
      <c r="B41" s="13" t="s">
        <v>49</v>
      </c>
      <c r="C41" s="13" t="s">
        <v>136</v>
      </c>
      <c r="D41" s="5" t="s">
        <v>137</v>
      </c>
      <c r="E41" s="13" t="s">
        <v>138</v>
      </c>
      <c r="F41" s="12" t="s">
        <v>46</v>
      </c>
      <c r="G41" s="14" t="s">
        <v>47</v>
      </c>
      <c r="H41" s="13" t="s">
        <v>69</v>
      </c>
      <c r="I41" s="15">
        <v>4099413.31</v>
      </c>
      <c r="J41" s="15">
        <f>I41</f>
        <v>4099413.31</v>
      </c>
    </row>
  </sheetData>
  <mergeCells count="6">
    <mergeCell ref="J14:J15"/>
    <mergeCell ref="B14:B15"/>
    <mergeCell ref="C14:C15"/>
    <mergeCell ref="D14:D15"/>
    <mergeCell ref="E14:E15"/>
    <mergeCell ref="G14:G1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Normal="100" workbookViewId="0">
      <pane ySplit="1" topLeftCell="D2" activePane="bottomLeft" state="frozen"/>
      <selection pane="bottomLeft" activeCell="D1" sqref="A1:XFD1048576"/>
    </sheetView>
  </sheetViews>
  <sheetFormatPr defaultRowHeight="15"/>
  <cols>
    <col min="1" max="1" width="5.140625" style="21" bestFit="1" customWidth="1"/>
    <col min="2" max="2" width="20.42578125" bestFit="1" customWidth="1"/>
    <col min="3" max="3" width="23.140625" bestFit="1" customWidth="1"/>
    <col min="4" max="4" width="37.42578125" bestFit="1" customWidth="1"/>
    <col min="5" max="5" width="42.42578125" style="21" bestFit="1" customWidth="1"/>
    <col min="6" max="6" width="79.140625" bestFit="1" customWidth="1"/>
    <col min="7" max="7" width="25.42578125" bestFit="1" customWidth="1"/>
    <col min="8" max="8" width="10" style="21" bestFit="1" customWidth="1"/>
    <col min="9" max="9" width="22.5703125" style="20" bestFit="1" customWidth="1"/>
    <col min="10" max="10" width="17.7109375" style="20" bestFit="1" customWidth="1"/>
  </cols>
  <sheetData>
    <row r="1" spans="1:10" s="18" customFormat="1" ht="38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  <c r="H1" s="51" t="s">
        <v>139</v>
      </c>
      <c r="I1" s="53" t="s">
        <v>8</v>
      </c>
      <c r="J1" s="53" t="s">
        <v>9</v>
      </c>
    </row>
    <row r="2" spans="1:10" s="3" customFormat="1" ht="12.75">
      <c r="A2" s="22">
        <v>1</v>
      </c>
      <c r="B2" s="23">
        <v>45718</v>
      </c>
      <c r="C2" s="23">
        <v>45810</v>
      </c>
      <c r="D2" s="22" t="s">
        <v>140</v>
      </c>
      <c r="E2" s="24" t="s">
        <v>31</v>
      </c>
      <c r="F2" s="25" t="s">
        <v>141</v>
      </c>
      <c r="G2" s="26" t="s">
        <v>142</v>
      </c>
      <c r="H2" s="24">
        <v>1</v>
      </c>
      <c r="I2" s="27">
        <v>24000</v>
      </c>
      <c r="J2" s="27">
        <v>25800</v>
      </c>
    </row>
    <row r="3" spans="1:10" s="3" customFormat="1" ht="12.75">
      <c r="A3" s="22">
        <v>2</v>
      </c>
      <c r="B3" s="23">
        <v>45718</v>
      </c>
      <c r="C3" s="23">
        <v>45779</v>
      </c>
      <c r="D3" s="22" t="s">
        <v>143</v>
      </c>
      <c r="E3" s="24" t="s">
        <v>20</v>
      </c>
      <c r="F3" s="25" t="s">
        <v>144</v>
      </c>
      <c r="G3" s="26" t="s">
        <v>145</v>
      </c>
      <c r="H3" s="24">
        <v>5</v>
      </c>
      <c r="I3" s="27">
        <v>312000</v>
      </c>
      <c r="J3" s="27">
        <v>1677000</v>
      </c>
    </row>
    <row r="4" spans="1:10" s="3" customFormat="1" ht="12.75">
      <c r="A4" s="22">
        <v>3</v>
      </c>
      <c r="B4" s="23">
        <v>45718</v>
      </c>
      <c r="C4" s="23">
        <v>45779</v>
      </c>
      <c r="D4" s="22" t="s">
        <v>146</v>
      </c>
      <c r="E4" s="24" t="s">
        <v>147</v>
      </c>
      <c r="F4" s="25" t="s">
        <v>148</v>
      </c>
      <c r="G4" s="26" t="s">
        <v>145</v>
      </c>
      <c r="H4" s="24">
        <v>1</v>
      </c>
      <c r="I4" s="27">
        <v>312000</v>
      </c>
      <c r="J4" s="27">
        <v>335400</v>
      </c>
    </row>
    <row r="5" spans="1:10" s="3" customFormat="1" ht="12.75">
      <c r="A5" s="22">
        <v>4</v>
      </c>
      <c r="B5" s="23">
        <v>45718</v>
      </c>
      <c r="C5" s="23">
        <v>45810</v>
      </c>
      <c r="D5" s="22" t="s">
        <v>149</v>
      </c>
      <c r="E5" s="24" t="s">
        <v>150</v>
      </c>
      <c r="F5" s="25" t="s">
        <v>151</v>
      </c>
      <c r="G5" s="26" t="s">
        <v>64</v>
      </c>
      <c r="H5" s="24">
        <v>1</v>
      </c>
      <c r="I5" s="27">
        <v>1230000</v>
      </c>
      <c r="J5" s="27">
        <v>1322250</v>
      </c>
    </row>
    <row r="6" spans="1:10" s="3" customFormat="1" ht="12.75">
      <c r="A6" s="22">
        <v>5</v>
      </c>
      <c r="B6" s="23">
        <v>45718</v>
      </c>
      <c r="C6" s="23">
        <v>45840</v>
      </c>
      <c r="D6" s="22" t="s">
        <v>152</v>
      </c>
      <c r="E6" s="24" t="s">
        <v>94</v>
      </c>
      <c r="F6" s="25" t="s">
        <v>153</v>
      </c>
      <c r="G6" s="26" t="s">
        <v>154</v>
      </c>
      <c r="H6" s="24">
        <v>20000</v>
      </c>
      <c r="I6" s="27">
        <v>209.63</v>
      </c>
      <c r="J6" s="27">
        <v>4192600</v>
      </c>
    </row>
    <row r="7" spans="1:10" s="3" customFormat="1" ht="12.75">
      <c r="A7" s="22">
        <v>6</v>
      </c>
      <c r="B7" s="23">
        <v>45932</v>
      </c>
      <c r="C7" s="23">
        <v>45842</v>
      </c>
      <c r="D7" s="22" t="s">
        <v>155</v>
      </c>
      <c r="E7" s="24" t="s">
        <v>156</v>
      </c>
      <c r="F7" s="25" t="s">
        <v>46</v>
      </c>
      <c r="G7" s="26" t="s">
        <v>47</v>
      </c>
      <c r="H7" s="24">
        <v>2</v>
      </c>
      <c r="I7" s="27">
        <v>4099413.31</v>
      </c>
      <c r="J7" s="27">
        <v>8198826.6200000001</v>
      </c>
    </row>
    <row r="8" spans="1:10" s="3" customFormat="1" ht="12.75">
      <c r="A8" s="22">
        <v>7</v>
      </c>
      <c r="B8" s="23">
        <v>45932</v>
      </c>
      <c r="C8" s="23">
        <v>45993</v>
      </c>
      <c r="D8" s="22" t="s">
        <v>157</v>
      </c>
      <c r="E8" s="24" t="s">
        <v>158</v>
      </c>
      <c r="F8" s="25" t="s">
        <v>159</v>
      </c>
      <c r="G8" s="26" t="s">
        <v>26</v>
      </c>
      <c r="H8" s="24">
        <v>1</v>
      </c>
      <c r="I8" s="27">
        <v>120000</v>
      </c>
      <c r="J8" s="27">
        <v>129000</v>
      </c>
    </row>
    <row r="9" spans="1:10" s="3" customFormat="1" ht="12.75">
      <c r="A9" s="22">
        <v>8</v>
      </c>
      <c r="B9" s="23">
        <v>45932</v>
      </c>
      <c r="C9" s="23">
        <v>45993</v>
      </c>
      <c r="D9" s="22" t="s">
        <v>160</v>
      </c>
      <c r="E9" s="24" t="s">
        <v>161</v>
      </c>
      <c r="F9" s="25" t="s">
        <v>162</v>
      </c>
      <c r="G9" s="26" t="s">
        <v>39</v>
      </c>
      <c r="H9" s="24">
        <v>40</v>
      </c>
      <c r="I9" s="27">
        <v>16000</v>
      </c>
      <c r="J9" s="27">
        <v>788000</v>
      </c>
    </row>
    <row r="10" spans="1:10" s="3" customFormat="1" ht="12.75">
      <c r="A10" s="22">
        <v>9</v>
      </c>
      <c r="B10" s="23">
        <v>45993</v>
      </c>
      <c r="C10" s="24" t="s">
        <v>163</v>
      </c>
      <c r="D10" s="22" t="s">
        <v>164</v>
      </c>
      <c r="E10" s="24" t="s">
        <v>31</v>
      </c>
      <c r="F10" s="25" t="s">
        <v>165</v>
      </c>
      <c r="G10" s="26" t="s">
        <v>142</v>
      </c>
      <c r="H10" s="24">
        <v>20000</v>
      </c>
      <c r="I10" s="27">
        <v>6412.17</v>
      </c>
      <c r="J10" s="27">
        <v>137861655</v>
      </c>
    </row>
    <row r="11" spans="1:10" s="3" customFormat="1" ht="12.75">
      <c r="A11" s="22">
        <v>10</v>
      </c>
      <c r="B11" s="24" t="s">
        <v>166</v>
      </c>
      <c r="C11" s="24" t="s">
        <v>167</v>
      </c>
      <c r="D11" s="22" t="s">
        <v>168</v>
      </c>
      <c r="E11" s="24" t="s">
        <v>169</v>
      </c>
      <c r="F11" s="25" t="s">
        <v>170</v>
      </c>
      <c r="G11" s="26" t="s">
        <v>13</v>
      </c>
      <c r="H11" s="24">
        <v>1</v>
      </c>
      <c r="I11" s="27">
        <v>467250</v>
      </c>
      <c r="J11" s="27">
        <v>502293.75</v>
      </c>
    </row>
    <row r="12" spans="1:10" s="3" customFormat="1" ht="12.75">
      <c r="A12" s="22">
        <v>11</v>
      </c>
      <c r="B12" s="24" t="s">
        <v>166</v>
      </c>
      <c r="C12" s="24" t="s">
        <v>167</v>
      </c>
      <c r="D12" s="22" t="s">
        <v>171</v>
      </c>
      <c r="E12" s="24" t="s">
        <v>147</v>
      </c>
      <c r="F12" s="25" t="s">
        <v>172</v>
      </c>
      <c r="G12" s="26" t="s">
        <v>13</v>
      </c>
      <c r="H12" s="24">
        <v>1</v>
      </c>
      <c r="I12" s="27">
        <v>1408535</v>
      </c>
      <c r="J12" s="27">
        <v>1514175.13</v>
      </c>
    </row>
    <row r="13" spans="1:10" s="3" customFormat="1" ht="12.75">
      <c r="A13" s="22">
        <v>12</v>
      </c>
      <c r="B13" s="24" t="s">
        <v>163</v>
      </c>
      <c r="C13" s="24" t="s">
        <v>167</v>
      </c>
      <c r="D13" s="22" t="s">
        <v>173</v>
      </c>
      <c r="E13" s="24" t="s">
        <v>62</v>
      </c>
      <c r="F13" s="25" t="s">
        <v>174</v>
      </c>
      <c r="G13" s="26" t="s">
        <v>175</v>
      </c>
      <c r="H13" s="24">
        <v>1</v>
      </c>
      <c r="I13" s="27">
        <v>14950000</v>
      </c>
      <c r="J13" s="27">
        <v>17101250</v>
      </c>
    </row>
    <row r="14" spans="1:10" s="3" customFormat="1" ht="12.75">
      <c r="A14" s="22">
        <v>13</v>
      </c>
      <c r="B14" s="24" t="s">
        <v>163</v>
      </c>
      <c r="C14" s="24" t="s">
        <v>167</v>
      </c>
      <c r="D14" s="22" t="s">
        <v>176</v>
      </c>
      <c r="E14" s="24" t="s">
        <v>177</v>
      </c>
      <c r="F14" s="25" t="s">
        <v>178</v>
      </c>
      <c r="G14" s="26" t="s">
        <v>145</v>
      </c>
      <c r="H14" s="24">
        <v>10</v>
      </c>
      <c r="I14" s="27">
        <v>312000</v>
      </c>
      <c r="J14" s="33">
        <v>3354000</v>
      </c>
    </row>
    <row r="15" spans="1:10">
      <c r="A15" s="29">
        <v>14</v>
      </c>
      <c r="B15" s="28"/>
      <c r="C15" s="28"/>
      <c r="D15" s="22" t="s">
        <v>179</v>
      </c>
      <c r="E15" s="29" t="s">
        <v>31</v>
      </c>
      <c r="F15" s="28" t="s">
        <v>180</v>
      </c>
      <c r="G15" s="28" t="s">
        <v>181</v>
      </c>
      <c r="H15" s="29" t="s">
        <v>69</v>
      </c>
      <c r="I15" s="30">
        <v>6360500</v>
      </c>
      <c r="J15" s="30">
        <v>6360500</v>
      </c>
    </row>
    <row r="16" spans="1:10">
      <c r="A16" s="29">
        <v>15</v>
      </c>
      <c r="B16" s="28"/>
      <c r="C16" s="28"/>
      <c r="D16" s="22" t="s">
        <v>182</v>
      </c>
      <c r="E16" s="29" t="s">
        <v>183</v>
      </c>
      <c r="F16" s="28" t="s">
        <v>73</v>
      </c>
      <c r="G16" s="28" t="s">
        <v>145</v>
      </c>
      <c r="H16" s="29" t="s">
        <v>184</v>
      </c>
      <c r="I16" s="30">
        <v>6127500</v>
      </c>
      <c r="J16" s="34">
        <v>6127500</v>
      </c>
    </row>
    <row r="17" spans="1:10">
      <c r="A17" s="29">
        <v>16</v>
      </c>
      <c r="B17" s="28"/>
      <c r="C17" s="28"/>
      <c r="D17" s="22" t="s">
        <v>185</v>
      </c>
      <c r="E17" s="29" t="s">
        <v>186</v>
      </c>
      <c r="F17" s="31" t="s">
        <v>187</v>
      </c>
      <c r="G17" s="28" t="s">
        <v>188</v>
      </c>
      <c r="H17" s="29">
        <v>34</v>
      </c>
      <c r="I17" s="30">
        <v>12000</v>
      </c>
      <c r="J17" s="30">
        <v>1427920</v>
      </c>
    </row>
    <row r="18" spans="1:10">
      <c r="A18" s="29">
        <v>17</v>
      </c>
      <c r="B18" s="28"/>
      <c r="C18" s="28"/>
      <c r="D18" s="22" t="s">
        <v>189</v>
      </c>
      <c r="E18" s="29" t="s">
        <v>190</v>
      </c>
      <c r="F18" s="28" t="s">
        <v>191</v>
      </c>
      <c r="G18" s="28" t="s">
        <v>145</v>
      </c>
      <c r="H18" s="29">
        <v>2</v>
      </c>
      <c r="I18" s="30">
        <v>312000</v>
      </c>
      <c r="J18" s="34">
        <v>670800</v>
      </c>
    </row>
    <row r="19" spans="1:10">
      <c r="A19" s="29">
        <v>18</v>
      </c>
      <c r="B19" s="28"/>
      <c r="C19" s="28"/>
      <c r="D19" s="22" t="s">
        <v>192</v>
      </c>
      <c r="E19" s="29" t="s">
        <v>193</v>
      </c>
      <c r="F19" s="28" t="s">
        <v>73</v>
      </c>
      <c r="G19" s="28" t="s">
        <v>74</v>
      </c>
      <c r="H19" s="29" t="s">
        <v>184</v>
      </c>
      <c r="I19" s="30">
        <v>789071.5</v>
      </c>
      <c r="J19" s="34">
        <v>789071.5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4EF8-2D7D-4678-9AFF-3EE9AB04DE7E}">
  <dimension ref="A1:J25"/>
  <sheetViews>
    <sheetView topLeftCell="D1" workbookViewId="0">
      <selection activeCell="D1" sqref="A1:XFD1048576"/>
    </sheetView>
  </sheetViews>
  <sheetFormatPr defaultRowHeight="15"/>
  <cols>
    <col min="2" max="2" width="20.140625" customWidth="1"/>
    <col min="3" max="3" width="21.5703125" customWidth="1"/>
    <col min="4" max="4" width="62.28515625" bestFit="1" customWidth="1"/>
    <col min="5" max="5" width="41.5703125" style="21" bestFit="1" customWidth="1"/>
    <col min="6" max="6" width="70.7109375" customWidth="1"/>
    <col min="7" max="7" width="22" customWidth="1"/>
    <col min="8" max="8" width="9.140625" style="21"/>
    <col min="9" max="9" width="17.5703125" customWidth="1"/>
    <col min="10" max="10" width="18.28515625" customWidth="1"/>
  </cols>
  <sheetData>
    <row r="1" spans="1:10" ht="38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  <c r="H1" s="51" t="s">
        <v>139</v>
      </c>
      <c r="I1" s="53" t="s">
        <v>8</v>
      </c>
      <c r="J1" s="53" t="s">
        <v>9</v>
      </c>
    </row>
    <row r="2" spans="1:10">
      <c r="A2" s="28">
        <v>1</v>
      </c>
      <c r="B2" s="28"/>
      <c r="C2" s="28"/>
      <c r="D2" s="36" t="s">
        <v>194</v>
      </c>
      <c r="E2" s="29" t="s">
        <v>195</v>
      </c>
      <c r="F2" s="37" t="s">
        <v>73</v>
      </c>
      <c r="G2" s="28" t="s">
        <v>196</v>
      </c>
      <c r="H2" s="29">
        <v>2</v>
      </c>
      <c r="I2" s="30">
        <v>1049762.5</v>
      </c>
      <c r="J2" s="30">
        <v>1049762.5</v>
      </c>
    </row>
    <row r="3" spans="1:10">
      <c r="A3" s="28">
        <v>2</v>
      </c>
      <c r="B3" s="28"/>
      <c r="C3" s="28"/>
      <c r="D3" s="36" t="s">
        <v>197</v>
      </c>
      <c r="E3" s="29" t="s">
        <v>198</v>
      </c>
      <c r="F3" s="37" t="s">
        <v>199</v>
      </c>
      <c r="G3" s="28" t="s">
        <v>200</v>
      </c>
      <c r="H3" s="29">
        <v>1</v>
      </c>
      <c r="I3" s="30">
        <v>1283500</v>
      </c>
      <c r="J3" s="30">
        <v>1379762.5</v>
      </c>
    </row>
    <row r="4" spans="1:10">
      <c r="A4" s="28">
        <v>3</v>
      </c>
      <c r="B4" s="28"/>
      <c r="C4" s="28"/>
      <c r="D4" s="36" t="s">
        <v>201</v>
      </c>
      <c r="E4" s="29"/>
      <c r="F4" s="28"/>
      <c r="G4" s="28"/>
      <c r="H4" s="29"/>
      <c r="I4" s="30"/>
      <c r="J4" s="30"/>
    </row>
    <row r="5" spans="1:10">
      <c r="A5" s="28">
        <v>4</v>
      </c>
      <c r="B5" s="28"/>
      <c r="C5" s="28"/>
      <c r="D5" s="36" t="s">
        <v>202</v>
      </c>
      <c r="E5" s="29"/>
      <c r="F5" s="28"/>
      <c r="G5" s="28"/>
      <c r="H5" s="29"/>
      <c r="I5" s="30"/>
      <c r="J5" s="30"/>
    </row>
    <row r="6" spans="1:10">
      <c r="A6" s="28">
        <v>5</v>
      </c>
      <c r="B6" s="28"/>
      <c r="C6" s="28"/>
      <c r="D6" s="36" t="s">
        <v>203</v>
      </c>
      <c r="E6" s="29"/>
      <c r="F6" s="28"/>
      <c r="G6" s="28"/>
      <c r="H6" s="29"/>
      <c r="I6" s="30"/>
      <c r="J6" s="30"/>
    </row>
    <row r="7" spans="1:10">
      <c r="A7" s="28">
        <v>6</v>
      </c>
      <c r="B7" s="28"/>
      <c r="C7" s="28"/>
      <c r="D7" s="36" t="s">
        <v>204</v>
      </c>
      <c r="E7" s="29"/>
      <c r="F7" s="28"/>
      <c r="G7" s="28"/>
      <c r="H7" s="29"/>
      <c r="I7" s="30"/>
      <c r="J7" s="30"/>
    </row>
    <row r="8" spans="1:10">
      <c r="A8" s="28">
        <v>7</v>
      </c>
      <c r="B8" s="28"/>
      <c r="C8" s="28"/>
      <c r="D8" s="36" t="s">
        <v>205</v>
      </c>
      <c r="E8" s="29"/>
      <c r="F8" s="28"/>
      <c r="G8" s="28"/>
      <c r="H8" s="29"/>
      <c r="I8" s="30"/>
      <c r="J8" s="30"/>
    </row>
    <row r="9" spans="1:10">
      <c r="A9" s="28">
        <v>8</v>
      </c>
      <c r="B9" s="28"/>
      <c r="C9" s="28"/>
      <c r="D9" s="36" t="s">
        <v>206</v>
      </c>
      <c r="E9" s="29" t="s">
        <v>31</v>
      </c>
      <c r="F9" s="37" t="s">
        <v>207</v>
      </c>
      <c r="G9" s="28" t="s">
        <v>208</v>
      </c>
      <c r="H9" s="29" t="s">
        <v>34</v>
      </c>
      <c r="I9" s="30">
        <v>4890067.5</v>
      </c>
      <c r="J9" s="30">
        <v>4890067.5</v>
      </c>
    </row>
    <row r="10" spans="1:10" ht="30">
      <c r="A10" s="28">
        <v>9</v>
      </c>
      <c r="B10" s="28"/>
      <c r="C10" s="28"/>
      <c r="D10" s="36" t="s">
        <v>209</v>
      </c>
      <c r="E10" s="29" t="s">
        <v>94</v>
      </c>
      <c r="F10" s="37" t="s">
        <v>210</v>
      </c>
      <c r="G10" s="28" t="s">
        <v>211</v>
      </c>
      <c r="H10" s="29" t="s">
        <v>212</v>
      </c>
      <c r="I10" s="38" t="s">
        <v>213</v>
      </c>
      <c r="J10" s="30">
        <v>585000</v>
      </c>
    </row>
    <row r="11" spans="1:10">
      <c r="A11" s="28">
        <v>10</v>
      </c>
      <c r="B11" s="28"/>
      <c r="C11" s="28"/>
      <c r="D11" s="36" t="s">
        <v>214</v>
      </c>
      <c r="E11" s="29" t="s">
        <v>94</v>
      </c>
      <c r="F11" s="28" t="s">
        <v>215</v>
      </c>
      <c r="G11" s="28" t="s">
        <v>216</v>
      </c>
      <c r="H11" s="29">
        <v>250</v>
      </c>
      <c r="I11" s="30">
        <v>2950</v>
      </c>
      <c r="J11" s="30">
        <v>737500</v>
      </c>
    </row>
    <row r="12" spans="1:10">
      <c r="A12" s="28">
        <v>11</v>
      </c>
      <c r="B12" s="28"/>
      <c r="C12" s="28"/>
      <c r="D12" s="36" t="s">
        <v>217</v>
      </c>
      <c r="E12" s="29" t="s">
        <v>94</v>
      </c>
      <c r="F12" s="28" t="s">
        <v>218</v>
      </c>
      <c r="G12" s="28" t="s">
        <v>219</v>
      </c>
      <c r="H12" s="29">
        <v>100</v>
      </c>
      <c r="I12" s="30">
        <v>6200</v>
      </c>
      <c r="J12" s="30">
        <v>620000</v>
      </c>
    </row>
    <row r="13" spans="1:10">
      <c r="A13" s="28">
        <v>12</v>
      </c>
      <c r="B13" s="28"/>
      <c r="C13" s="28"/>
      <c r="D13" s="36" t="s">
        <v>220</v>
      </c>
      <c r="E13" s="29" t="s">
        <v>31</v>
      </c>
      <c r="F13" s="28" t="s">
        <v>221</v>
      </c>
      <c r="G13" s="28" t="s">
        <v>222</v>
      </c>
      <c r="H13" s="29">
        <v>5</v>
      </c>
      <c r="I13" s="30">
        <v>247500</v>
      </c>
      <c r="J13" s="30">
        <v>1237500</v>
      </c>
    </row>
    <row r="14" spans="1:10">
      <c r="A14" s="28">
        <v>13</v>
      </c>
      <c r="B14" s="28"/>
      <c r="C14" s="28"/>
      <c r="D14" s="36" t="s">
        <v>223</v>
      </c>
      <c r="E14" s="29" t="s">
        <v>224</v>
      </c>
      <c r="F14" s="37" t="s">
        <v>225</v>
      </c>
      <c r="G14" s="28" t="s">
        <v>226</v>
      </c>
      <c r="H14" s="29">
        <v>1</v>
      </c>
      <c r="I14" s="30">
        <v>423000</v>
      </c>
      <c r="J14" s="30">
        <v>464725</v>
      </c>
    </row>
    <row r="15" spans="1:10">
      <c r="A15" s="28">
        <v>14</v>
      </c>
      <c r="B15" s="28"/>
      <c r="C15" s="28"/>
      <c r="D15" s="36" t="s">
        <v>227</v>
      </c>
      <c r="E15" s="29" t="s">
        <v>228</v>
      </c>
      <c r="F15" s="37" t="s">
        <v>229</v>
      </c>
      <c r="G15" s="28" t="s">
        <v>230</v>
      </c>
      <c r="H15" s="29">
        <v>1</v>
      </c>
      <c r="I15" s="30">
        <v>2250000</v>
      </c>
      <c r="J15" s="30">
        <v>2418750</v>
      </c>
    </row>
    <row r="16" spans="1:10">
      <c r="A16" s="28">
        <v>15</v>
      </c>
      <c r="B16" s="28"/>
      <c r="C16" s="28"/>
      <c r="D16" s="36" t="s">
        <v>231</v>
      </c>
      <c r="E16" s="29" t="s">
        <v>147</v>
      </c>
      <c r="F16" s="37" t="s">
        <v>232</v>
      </c>
      <c r="G16" s="28" t="s">
        <v>200</v>
      </c>
      <c r="H16" s="29">
        <v>1</v>
      </c>
      <c r="I16" s="30">
        <v>170000</v>
      </c>
      <c r="J16" s="30">
        <v>182750</v>
      </c>
    </row>
    <row r="17" spans="1:10">
      <c r="A17" s="28">
        <v>16</v>
      </c>
      <c r="B17" s="28"/>
      <c r="C17" s="28"/>
      <c r="D17" s="36" t="s">
        <v>233</v>
      </c>
      <c r="E17" s="29" t="s">
        <v>234</v>
      </c>
      <c r="F17" s="37" t="s">
        <v>235</v>
      </c>
      <c r="G17" s="28" t="s">
        <v>236</v>
      </c>
      <c r="H17" s="29">
        <v>12</v>
      </c>
      <c r="I17" s="30">
        <v>362000</v>
      </c>
      <c r="J17" s="30">
        <v>4869800</v>
      </c>
    </row>
    <row r="18" spans="1:10">
      <c r="A18" s="28">
        <v>17</v>
      </c>
      <c r="B18" s="28"/>
      <c r="C18" s="28"/>
      <c r="D18" s="36" t="s">
        <v>237</v>
      </c>
      <c r="E18" s="29" t="s">
        <v>94</v>
      </c>
      <c r="F18" s="37" t="s">
        <v>238</v>
      </c>
      <c r="G18" s="28" t="s">
        <v>239</v>
      </c>
      <c r="H18" s="29">
        <v>100</v>
      </c>
      <c r="I18" s="30">
        <v>48000</v>
      </c>
      <c r="J18" s="30">
        <v>5160000</v>
      </c>
    </row>
    <row r="19" spans="1:10">
      <c r="A19" s="28">
        <v>18</v>
      </c>
      <c r="B19" s="28"/>
      <c r="C19" s="28"/>
      <c r="D19" s="36" t="s">
        <v>240</v>
      </c>
      <c r="E19" s="29" t="s">
        <v>31</v>
      </c>
      <c r="F19" s="37" t="s">
        <v>241</v>
      </c>
      <c r="G19" s="28" t="s">
        <v>242</v>
      </c>
      <c r="H19" s="29" t="s">
        <v>69</v>
      </c>
      <c r="I19" s="30">
        <v>25638750</v>
      </c>
      <c r="J19" s="30">
        <v>25638750</v>
      </c>
    </row>
    <row r="20" spans="1:10">
      <c r="A20" s="28">
        <v>19</v>
      </c>
      <c r="B20" s="28"/>
      <c r="C20" s="28"/>
      <c r="D20" s="36" t="s">
        <v>243</v>
      </c>
      <c r="E20" s="29" t="s">
        <v>31</v>
      </c>
      <c r="F20" s="37" t="s">
        <v>244</v>
      </c>
      <c r="G20" s="28" t="s">
        <v>245</v>
      </c>
      <c r="H20" s="29" t="s">
        <v>69</v>
      </c>
      <c r="I20" s="30">
        <v>19545454.57</v>
      </c>
      <c r="J20" s="30">
        <v>19545454.57</v>
      </c>
    </row>
    <row r="21" spans="1:10">
      <c r="A21" s="28">
        <v>20</v>
      </c>
      <c r="B21" s="28"/>
      <c r="C21" s="28"/>
      <c r="D21" s="36" t="s">
        <v>246</v>
      </c>
      <c r="E21" s="29" t="s">
        <v>31</v>
      </c>
      <c r="F21" s="37" t="s">
        <v>247</v>
      </c>
      <c r="G21" s="28" t="s">
        <v>248</v>
      </c>
      <c r="H21" s="29" t="s">
        <v>69</v>
      </c>
      <c r="I21" s="30">
        <v>26875000</v>
      </c>
      <c r="J21" s="30">
        <v>26875000</v>
      </c>
    </row>
    <row r="22" spans="1:10">
      <c r="D22" s="35"/>
      <c r="I22" s="20"/>
      <c r="J22" s="20"/>
    </row>
    <row r="23" spans="1:10">
      <c r="I23" s="20"/>
      <c r="J23" s="20"/>
    </row>
    <row r="24" spans="1:10">
      <c r="I24" s="20"/>
      <c r="J24" s="20"/>
    </row>
    <row r="25" spans="1:10">
      <c r="I25" s="20"/>
      <c r="J25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D9A9-72A4-4592-BB20-8605753D04B6}">
  <dimension ref="A1:J15"/>
  <sheetViews>
    <sheetView tabSelected="1" topLeftCell="D1" workbookViewId="0">
      <selection activeCell="H2" sqref="H2"/>
    </sheetView>
  </sheetViews>
  <sheetFormatPr defaultRowHeight="15"/>
  <cols>
    <col min="1" max="1" width="5.7109375" style="21" bestFit="1" customWidth="1"/>
    <col min="2" max="2" width="20" bestFit="1" customWidth="1"/>
    <col min="3" max="3" width="23" bestFit="1" customWidth="1"/>
    <col min="4" max="4" width="41" bestFit="1" customWidth="1"/>
    <col min="5" max="5" width="41.5703125" style="21" bestFit="1" customWidth="1"/>
    <col min="6" max="6" width="74.42578125" customWidth="1"/>
    <col min="7" max="7" width="19.42578125" bestFit="1" customWidth="1"/>
    <col min="8" max="8" width="10.85546875" style="21" bestFit="1" customWidth="1"/>
    <col min="9" max="9" width="22.140625" bestFit="1" customWidth="1"/>
    <col min="10" max="10" width="18.5703125" bestFit="1" customWidth="1"/>
  </cols>
  <sheetData>
    <row r="1" spans="1:10" ht="25.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2" t="s">
        <v>6</v>
      </c>
      <c r="H1" s="51" t="s">
        <v>139</v>
      </c>
      <c r="I1" s="53" t="s">
        <v>8</v>
      </c>
      <c r="J1" s="53" t="s">
        <v>9</v>
      </c>
    </row>
    <row r="2" spans="1:10">
      <c r="A2" s="29">
        <v>1</v>
      </c>
      <c r="B2" s="28"/>
      <c r="C2" s="28"/>
      <c r="D2" s="36" t="s">
        <v>249</v>
      </c>
      <c r="E2" s="29" t="s">
        <v>31</v>
      </c>
      <c r="F2" s="39" t="s">
        <v>250</v>
      </c>
      <c r="G2" s="28" t="s">
        <v>251</v>
      </c>
      <c r="H2" s="29" t="s">
        <v>69</v>
      </c>
      <c r="I2" s="30">
        <v>48750000</v>
      </c>
      <c r="J2" s="30">
        <v>48750000</v>
      </c>
    </row>
    <row r="3" spans="1:10">
      <c r="A3" s="29">
        <v>2</v>
      </c>
      <c r="B3" s="28"/>
      <c r="C3" s="28"/>
      <c r="D3" s="36" t="s">
        <v>252</v>
      </c>
      <c r="E3" s="29" t="s">
        <v>253</v>
      </c>
      <c r="F3" s="39" t="s">
        <v>254</v>
      </c>
      <c r="G3" s="28" t="s">
        <v>255</v>
      </c>
      <c r="H3" s="29">
        <v>1</v>
      </c>
      <c r="I3" s="30">
        <v>465000</v>
      </c>
      <c r="J3" s="30">
        <v>499875</v>
      </c>
    </row>
    <row r="4" spans="1:10">
      <c r="A4" s="29">
        <v>3</v>
      </c>
      <c r="B4" s="28"/>
      <c r="C4" s="28"/>
      <c r="D4" s="36" t="s">
        <v>256</v>
      </c>
      <c r="E4" s="29" t="s">
        <v>257</v>
      </c>
      <c r="F4" s="40" t="s">
        <v>258</v>
      </c>
      <c r="G4" s="28" t="s">
        <v>259</v>
      </c>
      <c r="H4" s="29">
        <v>1</v>
      </c>
      <c r="I4" s="30">
        <v>1440000</v>
      </c>
      <c r="J4" s="30">
        <v>1548000</v>
      </c>
    </row>
    <row r="5" spans="1:10">
      <c r="A5" s="29">
        <v>4</v>
      </c>
      <c r="B5" s="28"/>
      <c r="C5" s="28"/>
      <c r="D5" s="36" t="s">
        <v>260</v>
      </c>
      <c r="E5" s="29" t="s">
        <v>261</v>
      </c>
      <c r="F5" s="39" t="s">
        <v>42</v>
      </c>
      <c r="G5" s="28" t="s">
        <v>43</v>
      </c>
      <c r="H5" s="29">
        <v>7</v>
      </c>
      <c r="I5" s="30">
        <v>363000</v>
      </c>
      <c r="J5" s="30">
        <v>2981575</v>
      </c>
    </row>
    <row r="6" spans="1:10">
      <c r="A6" s="29">
        <v>5</v>
      </c>
      <c r="B6" s="28"/>
      <c r="C6" s="28"/>
      <c r="D6" s="36" t="s">
        <v>262</v>
      </c>
      <c r="E6" s="29" t="s">
        <v>263</v>
      </c>
      <c r="F6" s="39" t="s">
        <v>264</v>
      </c>
      <c r="G6" s="28" t="s">
        <v>265</v>
      </c>
      <c r="H6" s="29">
        <v>4</v>
      </c>
      <c r="I6" s="30">
        <v>16000</v>
      </c>
      <c r="J6" s="30">
        <v>118800</v>
      </c>
    </row>
    <row r="7" spans="1:10">
      <c r="A7" s="29">
        <v>6</v>
      </c>
      <c r="B7" s="28"/>
      <c r="C7" s="28"/>
      <c r="D7" s="36" t="s">
        <v>266</v>
      </c>
      <c r="E7" s="29" t="s">
        <v>267</v>
      </c>
      <c r="F7" s="39" t="s">
        <v>73</v>
      </c>
      <c r="G7" s="28" t="s">
        <v>196</v>
      </c>
      <c r="H7" s="29">
        <v>1</v>
      </c>
      <c r="I7" s="30">
        <v>284000</v>
      </c>
      <c r="J7" s="30">
        <v>355300</v>
      </c>
    </row>
    <row r="8" spans="1:10">
      <c r="A8" s="29">
        <v>7</v>
      </c>
      <c r="B8" s="28"/>
      <c r="C8" s="28"/>
      <c r="D8" s="36" t="s">
        <v>268</v>
      </c>
      <c r="E8" s="29" t="s">
        <v>267</v>
      </c>
      <c r="F8" s="28" t="s">
        <v>73</v>
      </c>
      <c r="G8" s="28" t="s">
        <v>74</v>
      </c>
      <c r="H8" s="29">
        <v>3</v>
      </c>
      <c r="I8" s="30">
        <v>266170</v>
      </c>
      <c r="J8" s="30">
        <v>858398.25</v>
      </c>
    </row>
    <row r="9" spans="1:10">
      <c r="A9" s="29">
        <v>8</v>
      </c>
      <c r="B9" s="28"/>
      <c r="C9" s="28"/>
      <c r="D9" s="36" t="s">
        <v>269</v>
      </c>
      <c r="E9" s="29" t="s">
        <v>267</v>
      </c>
      <c r="F9" s="39" t="s">
        <v>270</v>
      </c>
      <c r="G9" s="28" t="s">
        <v>271</v>
      </c>
      <c r="H9" s="29">
        <v>1</v>
      </c>
      <c r="I9" s="30">
        <v>414000</v>
      </c>
      <c r="J9" s="30">
        <v>445050</v>
      </c>
    </row>
    <row r="10" spans="1:10">
      <c r="A10" s="29">
        <v>9</v>
      </c>
      <c r="B10" s="28"/>
      <c r="C10" s="28"/>
      <c r="D10" s="36" t="s">
        <v>272</v>
      </c>
      <c r="E10" s="29" t="s">
        <v>273</v>
      </c>
      <c r="F10" s="28" t="s">
        <v>73</v>
      </c>
      <c r="G10" s="28" t="s">
        <v>196</v>
      </c>
      <c r="H10" s="29">
        <v>2</v>
      </c>
      <c r="I10" s="30">
        <v>791696.25</v>
      </c>
      <c r="J10" s="30">
        <v>791696.25</v>
      </c>
    </row>
    <row r="11" spans="1:10">
      <c r="A11" s="29">
        <v>10</v>
      </c>
      <c r="B11" s="28"/>
      <c r="C11" s="28"/>
      <c r="D11" s="36" t="s">
        <v>274</v>
      </c>
      <c r="E11" s="29" t="s">
        <v>273</v>
      </c>
      <c r="F11" s="39" t="s">
        <v>275</v>
      </c>
      <c r="G11" s="28" t="s">
        <v>276</v>
      </c>
      <c r="H11" s="29">
        <v>1</v>
      </c>
      <c r="I11" s="30">
        <v>257000</v>
      </c>
      <c r="J11" s="30">
        <v>276275</v>
      </c>
    </row>
    <row r="12" spans="1:10">
      <c r="A12" s="29">
        <v>11</v>
      </c>
      <c r="B12" s="28"/>
      <c r="C12" s="28"/>
      <c r="D12" s="36" t="s">
        <v>277</v>
      </c>
      <c r="E12" s="29" t="s">
        <v>278</v>
      </c>
      <c r="F12" s="39" t="s">
        <v>279</v>
      </c>
      <c r="G12" s="28" t="s">
        <v>26</v>
      </c>
      <c r="H12" s="29">
        <v>1</v>
      </c>
      <c r="I12" s="30">
        <v>250000</v>
      </c>
      <c r="J12" s="30">
        <v>268750</v>
      </c>
    </row>
    <row r="13" spans="1:10">
      <c r="A13" s="29">
        <v>12</v>
      </c>
      <c r="B13" s="28"/>
      <c r="C13" s="28"/>
      <c r="D13" s="36" t="s">
        <v>280</v>
      </c>
      <c r="E13" s="29" t="s">
        <v>281</v>
      </c>
      <c r="F13" s="39" t="s">
        <v>282</v>
      </c>
      <c r="G13" s="28" t="s">
        <v>265</v>
      </c>
      <c r="H13" s="29">
        <v>4</v>
      </c>
      <c r="I13" s="30">
        <v>48750</v>
      </c>
      <c r="J13" s="30">
        <v>259625</v>
      </c>
    </row>
    <row r="14" spans="1:10">
      <c r="A14" s="29">
        <v>13</v>
      </c>
      <c r="B14" s="28"/>
      <c r="C14" s="28"/>
      <c r="D14" s="36" t="s">
        <v>283</v>
      </c>
      <c r="E14" s="29" t="s">
        <v>31</v>
      </c>
      <c r="F14" s="39" t="s">
        <v>284</v>
      </c>
      <c r="G14" s="28" t="s">
        <v>285</v>
      </c>
      <c r="H14" s="29">
        <v>1</v>
      </c>
      <c r="I14" s="30">
        <v>10535000</v>
      </c>
      <c r="J14" s="30">
        <v>10535000</v>
      </c>
    </row>
    <row r="15" spans="1:10">
      <c r="A15" s="29">
        <v>14</v>
      </c>
      <c r="B15" s="28"/>
      <c r="C15" s="28"/>
      <c r="D15" s="36" t="s">
        <v>286</v>
      </c>
      <c r="E15" s="29" t="s">
        <v>287</v>
      </c>
      <c r="F15" s="39" t="s">
        <v>288</v>
      </c>
      <c r="G15" s="28" t="s">
        <v>271</v>
      </c>
      <c r="H15" s="29" t="s">
        <v>69</v>
      </c>
      <c r="I15" s="30">
        <v>8346386</v>
      </c>
      <c r="J15" s="30">
        <v>8346386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57F1-92F8-44A5-AFAC-5179C4B8DD8F}">
  <dimension ref="A1:J30"/>
  <sheetViews>
    <sheetView topLeftCell="E1" workbookViewId="0">
      <selection activeCell="E4" sqref="A1:XFD1048576"/>
    </sheetView>
  </sheetViews>
  <sheetFormatPr defaultRowHeight="15"/>
  <cols>
    <col min="1" max="1" width="5.7109375" bestFit="1" customWidth="1"/>
    <col min="2" max="2" width="20" bestFit="1" customWidth="1"/>
    <col min="3" max="3" width="23" bestFit="1" customWidth="1"/>
    <col min="4" max="4" width="41" bestFit="1" customWidth="1"/>
    <col min="5" max="5" width="41.5703125" bestFit="1" customWidth="1"/>
    <col min="6" max="6" width="106.85546875" customWidth="1"/>
    <col min="7" max="7" width="19.42578125" bestFit="1" customWidth="1"/>
    <col min="8" max="8" width="10.85546875" bestFit="1" customWidth="1"/>
    <col min="9" max="10" width="14.28515625" bestFit="1" customWidth="1"/>
  </cols>
  <sheetData>
    <row r="1" spans="1:10" ht="5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9" t="s">
        <v>6</v>
      </c>
      <c r="H1" s="47" t="s">
        <v>139</v>
      </c>
      <c r="I1" s="48" t="s">
        <v>8</v>
      </c>
      <c r="J1" s="48" t="s">
        <v>9</v>
      </c>
    </row>
    <row r="2" spans="1:10">
      <c r="A2" s="46">
        <v>1</v>
      </c>
      <c r="B2" s="43"/>
      <c r="C2" s="43"/>
      <c r="D2" s="44" t="s">
        <v>289</v>
      </c>
      <c r="E2" s="46" t="s">
        <v>290</v>
      </c>
      <c r="F2" s="1" t="s">
        <v>291</v>
      </c>
      <c r="G2" s="43" t="s">
        <v>222</v>
      </c>
      <c r="H2" s="46">
        <v>1</v>
      </c>
      <c r="I2" s="50">
        <v>1250000</v>
      </c>
      <c r="J2" s="50">
        <v>1270000</v>
      </c>
    </row>
    <row r="3" spans="1:10">
      <c r="A3" s="46">
        <v>2</v>
      </c>
      <c r="B3" s="43"/>
      <c r="C3" s="43"/>
      <c r="D3" s="44" t="s">
        <v>292</v>
      </c>
      <c r="E3" s="46" t="s">
        <v>290</v>
      </c>
      <c r="F3" s="1" t="s">
        <v>293</v>
      </c>
      <c r="G3" s="43" t="s">
        <v>222</v>
      </c>
      <c r="H3" s="46">
        <v>1</v>
      </c>
      <c r="I3" s="50">
        <v>483750</v>
      </c>
      <c r="J3" s="50">
        <v>483750</v>
      </c>
    </row>
    <row r="4" spans="1:10">
      <c r="A4" s="46">
        <v>3</v>
      </c>
      <c r="B4" s="43"/>
      <c r="C4" s="43"/>
      <c r="D4" s="44" t="s">
        <v>294</v>
      </c>
      <c r="E4" s="46" t="s">
        <v>295</v>
      </c>
      <c r="F4" s="1" t="s">
        <v>296</v>
      </c>
      <c r="G4" s="43" t="s">
        <v>255</v>
      </c>
      <c r="H4" s="46">
        <v>1</v>
      </c>
      <c r="I4" s="50">
        <v>455000</v>
      </c>
      <c r="J4" s="50">
        <v>489125</v>
      </c>
    </row>
    <row r="5" spans="1:10">
      <c r="A5" s="46">
        <v>4</v>
      </c>
      <c r="B5" s="43"/>
      <c r="C5" s="43"/>
      <c r="D5" s="44" t="s">
        <v>297</v>
      </c>
      <c r="E5" s="46" t="s">
        <v>298</v>
      </c>
      <c r="F5" s="1" t="s">
        <v>299</v>
      </c>
      <c r="G5" s="43" t="s">
        <v>236</v>
      </c>
      <c r="H5" s="46">
        <v>40</v>
      </c>
      <c r="I5" s="50">
        <v>16000</v>
      </c>
      <c r="J5" s="50">
        <v>738000</v>
      </c>
    </row>
    <row r="6" spans="1:10">
      <c r="A6" s="46">
        <v>5</v>
      </c>
      <c r="B6" s="43"/>
      <c r="C6" s="43"/>
      <c r="D6" s="44" t="s">
        <v>300</v>
      </c>
      <c r="E6" s="46" t="s">
        <v>301</v>
      </c>
      <c r="F6" s="1" t="s">
        <v>302</v>
      </c>
      <c r="G6" s="43" t="s">
        <v>26</v>
      </c>
      <c r="H6" s="46" t="s">
        <v>303</v>
      </c>
      <c r="I6" s="50">
        <v>1580250</v>
      </c>
      <c r="J6" s="50">
        <v>1580250</v>
      </c>
    </row>
    <row r="7" spans="1:10">
      <c r="A7" s="46">
        <v>6</v>
      </c>
      <c r="B7" s="43"/>
      <c r="C7" s="43"/>
      <c r="D7" s="44" t="s">
        <v>304</v>
      </c>
      <c r="E7" s="46" t="s">
        <v>305</v>
      </c>
      <c r="F7" s="1" t="s">
        <v>306</v>
      </c>
      <c r="G7" s="43" t="s">
        <v>13</v>
      </c>
      <c r="H7" s="46">
        <v>3</v>
      </c>
      <c r="I7" s="50">
        <v>467250</v>
      </c>
      <c r="J7" s="50">
        <v>1506881.25</v>
      </c>
    </row>
    <row r="8" spans="1:10">
      <c r="A8" s="46">
        <v>7</v>
      </c>
      <c r="B8" s="43"/>
      <c r="C8" s="43"/>
      <c r="D8" s="44" t="s">
        <v>307</v>
      </c>
      <c r="E8" s="46" t="s">
        <v>31</v>
      </c>
      <c r="F8" s="1" t="s">
        <v>308</v>
      </c>
      <c r="G8" s="43" t="s">
        <v>13</v>
      </c>
      <c r="H8" s="46">
        <v>1</v>
      </c>
      <c r="I8" s="50">
        <v>2550400</v>
      </c>
      <c r="J8" s="50">
        <v>2741680</v>
      </c>
    </row>
    <row r="9" spans="1:10">
      <c r="A9" s="46">
        <v>8</v>
      </c>
      <c r="B9" s="43"/>
      <c r="C9" s="43"/>
      <c r="D9" s="44" t="s">
        <v>309</v>
      </c>
      <c r="E9" s="46" t="s">
        <v>290</v>
      </c>
      <c r="F9" s="1" t="s">
        <v>310</v>
      </c>
      <c r="G9" s="43" t="s">
        <v>222</v>
      </c>
      <c r="H9" s="46">
        <v>1</v>
      </c>
      <c r="I9" s="50">
        <v>315000</v>
      </c>
      <c r="J9" s="50">
        <v>325000</v>
      </c>
    </row>
    <row r="10" spans="1:10" ht="25.5">
      <c r="A10" s="46">
        <v>9</v>
      </c>
      <c r="B10" s="43"/>
      <c r="C10" s="43"/>
      <c r="D10" s="44" t="s">
        <v>311</v>
      </c>
      <c r="E10" s="46" t="s">
        <v>31</v>
      </c>
      <c r="F10" s="1" t="s">
        <v>312</v>
      </c>
      <c r="G10" s="43" t="s">
        <v>313</v>
      </c>
      <c r="H10" s="46">
        <v>1000</v>
      </c>
      <c r="I10" s="50">
        <v>9478500.75</v>
      </c>
      <c r="J10" s="50">
        <v>9478500.75</v>
      </c>
    </row>
    <row r="11" spans="1:10">
      <c r="A11" s="46">
        <v>10</v>
      </c>
      <c r="B11" s="43"/>
      <c r="C11" s="43"/>
      <c r="D11" s="44" t="s">
        <v>314</v>
      </c>
      <c r="E11" s="46" t="s">
        <v>315</v>
      </c>
      <c r="F11" s="1" t="s">
        <v>316</v>
      </c>
      <c r="G11" s="43" t="s">
        <v>126</v>
      </c>
      <c r="H11" s="46">
        <v>300</v>
      </c>
      <c r="I11" s="50">
        <v>6200</v>
      </c>
      <c r="J11" s="50">
        <v>1860000</v>
      </c>
    </row>
    <row r="12" spans="1:10">
      <c r="A12" s="46">
        <v>11</v>
      </c>
      <c r="B12" s="43"/>
      <c r="C12" s="43"/>
      <c r="D12" s="44" t="s">
        <v>317</v>
      </c>
      <c r="E12" s="46" t="s">
        <v>315</v>
      </c>
      <c r="F12" s="1" t="s">
        <v>318</v>
      </c>
      <c r="G12" s="43" t="s">
        <v>122</v>
      </c>
      <c r="H12" s="46" t="s">
        <v>69</v>
      </c>
      <c r="I12" s="50">
        <v>3030000</v>
      </c>
      <c r="J12" s="50">
        <v>3030000</v>
      </c>
    </row>
    <row r="13" spans="1:10">
      <c r="A13" s="46">
        <v>12</v>
      </c>
      <c r="B13" s="43"/>
      <c r="C13" s="43"/>
      <c r="D13" s="44" t="s">
        <v>319</v>
      </c>
      <c r="E13" s="46" t="s">
        <v>315</v>
      </c>
      <c r="F13" s="1" t="s">
        <v>118</v>
      </c>
      <c r="G13" s="43" t="s">
        <v>119</v>
      </c>
      <c r="H13" s="46" t="s">
        <v>69</v>
      </c>
      <c r="I13" s="50">
        <v>2575268</v>
      </c>
      <c r="J13" s="50">
        <v>2575268</v>
      </c>
    </row>
    <row r="14" spans="1:10">
      <c r="A14" s="46">
        <v>13</v>
      </c>
      <c r="B14" s="43"/>
      <c r="C14" s="43"/>
      <c r="D14" s="44" t="s">
        <v>320</v>
      </c>
      <c r="E14" s="46" t="s">
        <v>315</v>
      </c>
      <c r="F14" s="1" t="s">
        <v>321</v>
      </c>
      <c r="G14" s="43" t="s">
        <v>322</v>
      </c>
      <c r="H14" s="46" t="s">
        <v>69</v>
      </c>
      <c r="I14" s="50">
        <v>1926000</v>
      </c>
      <c r="J14" s="50">
        <v>1926000</v>
      </c>
    </row>
    <row r="15" spans="1:10">
      <c r="A15" s="46">
        <v>14</v>
      </c>
      <c r="B15" s="43"/>
      <c r="C15" s="43"/>
      <c r="D15" s="44" t="s">
        <v>323</v>
      </c>
      <c r="E15" s="46" t="s">
        <v>315</v>
      </c>
      <c r="F15" s="1" t="s">
        <v>321</v>
      </c>
      <c r="G15" s="43" t="s">
        <v>324</v>
      </c>
      <c r="H15" s="46" t="s">
        <v>69</v>
      </c>
      <c r="I15" s="50">
        <v>1273300</v>
      </c>
      <c r="J15" s="50">
        <v>1273300</v>
      </c>
    </row>
    <row r="16" spans="1:10">
      <c r="A16" s="43"/>
      <c r="B16" s="43"/>
      <c r="C16" s="43"/>
      <c r="D16" s="44" t="s">
        <v>325</v>
      </c>
      <c r="E16" s="46" t="s">
        <v>315</v>
      </c>
      <c r="F16" s="1" t="s">
        <v>321</v>
      </c>
      <c r="G16" s="43" t="s">
        <v>326</v>
      </c>
      <c r="H16" s="46" t="s">
        <v>69</v>
      </c>
      <c r="I16" s="50">
        <v>3740000</v>
      </c>
      <c r="J16" s="50">
        <v>3740000</v>
      </c>
    </row>
    <row r="17" spans="1:10">
      <c r="A17" s="43"/>
      <c r="B17" s="43"/>
      <c r="C17" s="43"/>
      <c r="D17" s="44" t="s">
        <v>327</v>
      </c>
      <c r="E17" s="46" t="s">
        <v>315</v>
      </c>
      <c r="F17" s="1" t="s">
        <v>321</v>
      </c>
      <c r="G17" s="43" t="s">
        <v>328</v>
      </c>
      <c r="H17" s="46" t="s">
        <v>69</v>
      </c>
      <c r="I17" s="50">
        <v>2031250</v>
      </c>
      <c r="J17" s="50">
        <v>2031250</v>
      </c>
    </row>
    <row r="18" spans="1:10">
      <c r="A18" s="43"/>
      <c r="B18" s="43"/>
      <c r="C18" s="43"/>
      <c r="D18" s="44" t="s">
        <v>329</v>
      </c>
      <c r="E18" s="46" t="s">
        <v>315</v>
      </c>
      <c r="F18" s="1" t="s">
        <v>153</v>
      </c>
      <c r="G18" s="43" t="s">
        <v>154</v>
      </c>
      <c r="H18" s="43">
        <v>15000</v>
      </c>
      <c r="I18" s="50">
        <v>236.5</v>
      </c>
      <c r="J18" s="50">
        <v>3547500</v>
      </c>
    </row>
    <row r="19" spans="1:10">
      <c r="A19" s="43"/>
      <c r="B19" s="43"/>
      <c r="C19" s="43"/>
      <c r="D19" s="44" t="s">
        <v>330</v>
      </c>
      <c r="E19" s="46" t="s">
        <v>315</v>
      </c>
      <c r="F19" s="1" t="s">
        <v>331</v>
      </c>
      <c r="G19" s="43" t="s">
        <v>128</v>
      </c>
      <c r="H19" s="46" t="s">
        <v>69</v>
      </c>
      <c r="I19" s="50">
        <v>6225000</v>
      </c>
      <c r="J19" s="50">
        <v>6225000</v>
      </c>
    </row>
    <row r="20" spans="1:10">
      <c r="A20" s="43"/>
      <c r="B20" s="43"/>
      <c r="C20" s="43"/>
      <c r="D20" s="44" t="s">
        <v>332</v>
      </c>
      <c r="E20" s="46" t="s">
        <v>315</v>
      </c>
      <c r="F20" s="1" t="s">
        <v>210</v>
      </c>
      <c r="G20" s="43" t="s">
        <v>333</v>
      </c>
      <c r="H20" s="46" t="s">
        <v>69</v>
      </c>
      <c r="I20" s="50">
        <v>2235000</v>
      </c>
      <c r="J20" s="50">
        <v>2235000</v>
      </c>
    </row>
    <row r="21" spans="1:10">
      <c r="A21" s="43"/>
      <c r="B21" s="43"/>
      <c r="C21" s="43"/>
      <c r="D21" s="44" t="s">
        <v>334</v>
      </c>
      <c r="E21" s="46" t="s">
        <v>315</v>
      </c>
      <c r="F21" s="1" t="s">
        <v>321</v>
      </c>
      <c r="G21" s="43" t="s">
        <v>335</v>
      </c>
      <c r="H21" s="46" t="s">
        <v>69</v>
      </c>
      <c r="I21" s="50">
        <v>2177200</v>
      </c>
      <c r="J21" s="50">
        <v>2177200</v>
      </c>
    </row>
    <row r="22" spans="1:10">
      <c r="A22" s="43"/>
      <c r="B22" s="43"/>
      <c r="C22" s="43"/>
      <c r="D22" s="44" t="s">
        <v>336</v>
      </c>
      <c r="E22" s="46" t="s">
        <v>315</v>
      </c>
      <c r="F22" s="1" t="s">
        <v>337</v>
      </c>
      <c r="G22" s="46" t="s">
        <v>338</v>
      </c>
      <c r="H22" s="46">
        <v>2000</v>
      </c>
      <c r="I22" s="50">
        <v>1500</v>
      </c>
      <c r="J22" s="50">
        <v>3000000</v>
      </c>
    </row>
    <row r="23" spans="1:10">
      <c r="A23" s="43"/>
      <c r="B23" s="43"/>
      <c r="C23" s="43"/>
      <c r="D23" s="44" t="s">
        <v>339</v>
      </c>
      <c r="E23" s="46" t="s">
        <v>315</v>
      </c>
      <c r="F23" s="1" t="s">
        <v>340</v>
      </c>
      <c r="G23" s="43" t="s">
        <v>116</v>
      </c>
      <c r="H23" s="43">
        <v>700</v>
      </c>
      <c r="I23" s="50">
        <v>2700</v>
      </c>
      <c r="J23" s="50">
        <v>1890000</v>
      </c>
    </row>
    <row r="24" spans="1:10">
      <c r="A24" s="43"/>
      <c r="B24" s="43"/>
      <c r="C24" s="43"/>
      <c r="D24" s="44" t="s">
        <v>341</v>
      </c>
      <c r="E24" s="46" t="s">
        <v>315</v>
      </c>
      <c r="F24" s="1" t="s">
        <v>342</v>
      </c>
      <c r="G24" s="43" t="s">
        <v>343</v>
      </c>
      <c r="H24" s="46" t="s">
        <v>344</v>
      </c>
      <c r="I24" s="50">
        <v>3780000</v>
      </c>
      <c r="J24" s="50">
        <v>3780000</v>
      </c>
    </row>
    <row r="25" spans="1:10">
      <c r="A25" s="43"/>
      <c r="B25" s="43"/>
      <c r="C25" s="43"/>
      <c r="D25" s="44" t="s">
        <v>345</v>
      </c>
      <c r="E25" s="46" t="s">
        <v>315</v>
      </c>
      <c r="F25" s="1" t="s">
        <v>346</v>
      </c>
      <c r="G25" s="43" t="s">
        <v>347</v>
      </c>
      <c r="H25" s="43">
        <v>3</v>
      </c>
      <c r="I25" s="50">
        <v>175000</v>
      </c>
      <c r="J25" s="50">
        <v>564375</v>
      </c>
    </row>
    <row r="26" spans="1:10">
      <c r="A26" s="43"/>
      <c r="B26" s="43"/>
      <c r="C26" s="43"/>
      <c r="D26" s="44" t="s">
        <v>348</v>
      </c>
      <c r="E26" s="46" t="s">
        <v>31</v>
      </c>
      <c r="F26" s="1" t="s">
        <v>349</v>
      </c>
      <c r="G26" s="43" t="s">
        <v>222</v>
      </c>
      <c r="H26" s="46">
        <v>2</v>
      </c>
      <c r="I26" s="50">
        <v>224400</v>
      </c>
      <c r="J26" s="50">
        <v>482460</v>
      </c>
    </row>
    <row r="27" spans="1:10">
      <c r="A27" s="43"/>
      <c r="B27" s="43"/>
      <c r="C27" s="43"/>
      <c r="D27" s="44" t="s">
        <v>350</v>
      </c>
      <c r="E27" s="46" t="s">
        <v>351</v>
      </c>
      <c r="F27" s="1" t="s">
        <v>159</v>
      </c>
      <c r="G27" s="43" t="s">
        <v>26</v>
      </c>
      <c r="H27" s="43">
        <v>1</v>
      </c>
      <c r="I27" s="50">
        <v>120000</v>
      </c>
      <c r="J27" s="50">
        <v>129000</v>
      </c>
    </row>
    <row r="28" spans="1:10">
      <c r="A28" s="43"/>
      <c r="B28" s="43"/>
      <c r="C28" s="43"/>
      <c r="D28" s="44" t="s">
        <v>352</v>
      </c>
      <c r="E28" s="46" t="s">
        <v>353</v>
      </c>
      <c r="F28" s="1" t="s">
        <v>159</v>
      </c>
      <c r="G28" s="43" t="s">
        <v>26</v>
      </c>
      <c r="H28" s="46">
        <v>1</v>
      </c>
      <c r="I28" s="50">
        <v>120000</v>
      </c>
      <c r="J28" s="50">
        <v>129000</v>
      </c>
    </row>
    <row r="29" spans="1:10">
      <c r="A29" s="43"/>
      <c r="B29" s="43"/>
      <c r="C29" s="43"/>
      <c r="D29" s="44" t="s">
        <v>354</v>
      </c>
      <c r="E29" s="46" t="s">
        <v>355</v>
      </c>
      <c r="F29" s="1" t="s">
        <v>349</v>
      </c>
      <c r="G29" s="43" t="s">
        <v>222</v>
      </c>
      <c r="H29" s="43">
        <v>2</v>
      </c>
      <c r="I29" s="50">
        <v>224400</v>
      </c>
      <c r="J29" s="50">
        <f>J26</f>
        <v>482460</v>
      </c>
    </row>
    <row r="30" spans="1:10">
      <c r="F30" s="41"/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ECCD-0823-43BC-A693-43BFF1B5C804}">
  <dimension ref="A1:J43"/>
  <sheetViews>
    <sheetView topLeftCell="E7" workbookViewId="0">
      <selection activeCell="E7" sqref="A1:XFD1048576"/>
    </sheetView>
  </sheetViews>
  <sheetFormatPr defaultRowHeight="15"/>
  <cols>
    <col min="1" max="1" width="10" customWidth="1"/>
    <col min="2" max="2" width="24.5703125" customWidth="1"/>
    <col min="3" max="3" width="23" bestFit="1" customWidth="1"/>
    <col min="4" max="4" width="37.42578125" bestFit="1" customWidth="1"/>
    <col min="5" max="5" width="41.5703125" bestFit="1" customWidth="1"/>
    <col min="6" max="6" width="87.28515625" customWidth="1"/>
    <col min="7" max="7" width="20.28515625" style="21" bestFit="1" customWidth="1"/>
    <col min="8" max="8" width="10.85546875" style="21" bestFit="1" customWidth="1"/>
    <col min="9" max="9" width="16.7109375" customWidth="1"/>
    <col min="10" max="10" width="19.7109375" customWidth="1"/>
  </cols>
  <sheetData>
    <row r="1" spans="1:10" s="42" customFormat="1" ht="5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139</v>
      </c>
      <c r="I1" s="48" t="s">
        <v>8</v>
      </c>
      <c r="J1" s="48" t="s">
        <v>9</v>
      </c>
    </row>
    <row r="2" spans="1:10" ht="25.5">
      <c r="A2" s="43"/>
      <c r="B2" s="43"/>
      <c r="C2" s="43"/>
      <c r="D2" s="44" t="s">
        <v>356</v>
      </c>
      <c r="E2" s="43"/>
      <c r="F2" s="1" t="s">
        <v>357</v>
      </c>
      <c r="G2" s="46" t="s">
        <v>358</v>
      </c>
      <c r="H2" s="46" t="s">
        <v>69</v>
      </c>
      <c r="I2" s="45">
        <v>100943360</v>
      </c>
      <c r="J2" s="45">
        <v>100943360</v>
      </c>
    </row>
    <row r="3" spans="1:10">
      <c r="A3" s="43"/>
      <c r="B3" s="43"/>
      <c r="C3" s="43"/>
      <c r="D3" s="44" t="s">
        <v>359</v>
      </c>
      <c r="E3" s="43"/>
      <c r="F3" s="1" t="s">
        <v>360</v>
      </c>
      <c r="G3" s="46" t="s">
        <v>361</v>
      </c>
      <c r="H3" s="46" t="s">
        <v>69</v>
      </c>
      <c r="I3" s="45">
        <v>4340000</v>
      </c>
      <c r="J3" s="45">
        <v>4340000</v>
      </c>
    </row>
    <row r="4" spans="1:10">
      <c r="A4" s="43"/>
      <c r="B4" s="43"/>
      <c r="C4" s="43"/>
      <c r="D4" s="44" t="s">
        <v>362</v>
      </c>
      <c r="E4" s="43"/>
      <c r="F4" s="1" t="s">
        <v>363</v>
      </c>
      <c r="G4" s="46" t="s">
        <v>216</v>
      </c>
      <c r="H4" s="46" t="s">
        <v>69</v>
      </c>
      <c r="I4" s="45">
        <v>12310000</v>
      </c>
      <c r="J4" s="45">
        <v>12310000</v>
      </c>
    </row>
    <row r="5" spans="1:10">
      <c r="A5" s="43"/>
      <c r="B5" s="43"/>
      <c r="C5" s="43"/>
      <c r="D5" s="44" t="s">
        <v>364</v>
      </c>
      <c r="E5" s="43"/>
      <c r="F5" s="1" t="s">
        <v>363</v>
      </c>
      <c r="G5" s="46" t="s">
        <v>365</v>
      </c>
      <c r="H5" s="46" t="s">
        <v>69</v>
      </c>
      <c r="I5" s="45">
        <v>11334000</v>
      </c>
      <c r="J5" s="45">
        <v>11334000</v>
      </c>
    </row>
    <row r="6" spans="1:10">
      <c r="A6" s="43"/>
      <c r="B6" s="43"/>
      <c r="C6" s="43"/>
      <c r="D6" s="44" t="s">
        <v>366</v>
      </c>
      <c r="E6" s="43"/>
      <c r="F6" s="1" t="s">
        <v>367</v>
      </c>
      <c r="G6" s="46" t="s">
        <v>368</v>
      </c>
      <c r="H6" s="46">
        <v>1</v>
      </c>
      <c r="I6" s="45">
        <v>220000</v>
      </c>
      <c r="J6" s="45">
        <v>236500</v>
      </c>
    </row>
    <row r="7" spans="1:10" ht="25.5">
      <c r="A7" s="43"/>
      <c r="B7" s="43"/>
      <c r="C7" s="43"/>
      <c r="D7" s="44" t="s">
        <v>369</v>
      </c>
      <c r="E7" s="43" t="s">
        <v>370</v>
      </c>
      <c r="F7" s="1" t="s">
        <v>371</v>
      </c>
      <c r="G7" s="46" t="s">
        <v>226</v>
      </c>
      <c r="H7" s="46">
        <v>11</v>
      </c>
      <c r="I7" s="45">
        <v>11233750</v>
      </c>
      <c r="J7" s="45">
        <v>11233750</v>
      </c>
    </row>
    <row r="8" spans="1:10">
      <c r="A8" s="43"/>
      <c r="B8" s="43"/>
      <c r="C8" s="43"/>
      <c r="D8" s="44" t="s">
        <v>372</v>
      </c>
      <c r="E8" s="43"/>
      <c r="F8" s="1" t="s">
        <v>373</v>
      </c>
      <c r="G8" s="46" t="s">
        <v>374</v>
      </c>
      <c r="H8" s="46" t="s">
        <v>69</v>
      </c>
      <c r="I8" s="45">
        <v>893325000</v>
      </c>
      <c r="J8" s="45">
        <v>893325000</v>
      </c>
    </row>
    <row r="9" spans="1:10">
      <c r="A9" s="43"/>
      <c r="B9" s="43"/>
      <c r="C9" s="43"/>
      <c r="D9" s="44" t="s">
        <v>375</v>
      </c>
      <c r="E9" s="43"/>
      <c r="F9" s="2" t="s">
        <v>376</v>
      </c>
      <c r="G9" s="46" t="s">
        <v>377</v>
      </c>
      <c r="H9" s="46" t="s">
        <v>69</v>
      </c>
      <c r="I9" s="45">
        <v>3800000</v>
      </c>
      <c r="J9" s="45">
        <v>3800000</v>
      </c>
    </row>
    <row r="10" spans="1:10">
      <c r="A10" s="43"/>
      <c r="B10" s="43"/>
      <c r="C10" s="43"/>
      <c r="D10" s="44" t="s">
        <v>378</v>
      </c>
      <c r="E10" s="43"/>
      <c r="F10" s="2" t="s">
        <v>379</v>
      </c>
      <c r="G10" s="46" t="s">
        <v>380</v>
      </c>
      <c r="H10" s="46" t="s">
        <v>69</v>
      </c>
      <c r="I10" s="45">
        <v>3000000</v>
      </c>
      <c r="J10" s="45">
        <v>3000000</v>
      </c>
    </row>
    <row r="11" spans="1:10">
      <c r="A11" s="43"/>
      <c r="B11" s="43"/>
      <c r="C11" s="43"/>
      <c r="D11" s="44" t="s">
        <v>381</v>
      </c>
      <c r="E11" s="43"/>
      <c r="F11" s="2" t="s">
        <v>379</v>
      </c>
      <c r="G11" s="46" t="s">
        <v>382</v>
      </c>
      <c r="H11" s="46" t="s">
        <v>69</v>
      </c>
      <c r="I11" s="45">
        <v>4963080</v>
      </c>
      <c r="J11" s="45">
        <v>4963080</v>
      </c>
    </row>
    <row r="12" spans="1:10">
      <c r="A12" s="43"/>
      <c r="B12" s="43"/>
      <c r="C12" s="43"/>
      <c r="D12" s="44" t="s">
        <v>383</v>
      </c>
      <c r="E12" s="43"/>
      <c r="F12" s="2" t="s">
        <v>379</v>
      </c>
      <c r="G12" s="46" t="s">
        <v>384</v>
      </c>
      <c r="H12" s="46" t="s">
        <v>69</v>
      </c>
      <c r="I12" s="45">
        <v>5100000</v>
      </c>
      <c r="J12" s="45">
        <v>5100000</v>
      </c>
    </row>
    <row r="13" spans="1:10" ht="25.5">
      <c r="A13" s="43"/>
      <c r="B13" s="43"/>
      <c r="C13" s="43"/>
      <c r="D13" s="44" t="s">
        <v>385</v>
      </c>
      <c r="E13" s="43"/>
      <c r="F13" s="1" t="s">
        <v>312</v>
      </c>
      <c r="G13" s="46" t="s">
        <v>313</v>
      </c>
      <c r="H13" s="46">
        <v>1000</v>
      </c>
      <c r="I13" s="45">
        <v>7084.23</v>
      </c>
      <c r="J13" s="45">
        <v>7615547.25</v>
      </c>
    </row>
    <row r="14" spans="1:10">
      <c r="A14" s="43"/>
      <c r="B14" s="43"/>
      <c r="C14" s="43"/>
      <c r="D14" s="44" t="s">
        <v>386</v>
      </c>
      <c r="E14" s="43"/>
      <c r="F14" s="1" t="s">
        <v>387</v>
      </c>
      <c r="G14" s="46" t="s">
        <v>388</v>
      </c>
      <c r="H14" s="46">
        <v>1</v>
      </c>
      <c r="I14" s="45">
        <v>693820</v>
      </c>
      <c r="J14" s="45">
        <v>745856.5</v>
      </c>
    </row>
    <row r="15" spans="1:10">
      <c r="A15" s="43"/>
      <c r="B15" s="43"/>
      <c r="C15" s="43"/>
      <c r="D15" s="44" t="s">
        <v>389</v>
      </c>
      <c r="E15" s="43"/>
      <c r="F15" s="1" t="s">
        <v>299</v>
      </c>
      <c r="G15" s="46" t="s">
        <v>236</v>
      </c>
      <c r="H15" s="46">
        <v>40</v>
      </c>
      <c r="I15" s="45">
        <v>16000</v>
      </c>
      <c r="J15" s="45">
        <v>738000</v>
      </c>
    </row>
    <row r="16" spans="1:10">
      <c r="A16" s="43"/>
      <c r="B16" s="43"/>
      <c r="C16" s="43"/>
      <c r="D16" s="44" t="s">
        <v>390</v>
      </c>
      <c r="E16" s="43"/>
      <c r="F16" s="1" t="s">
        <v>391</v>
      </c>
      <c r="G16" s="46" t="s">
        <v>236</v>
      </c>
      <c r="H16" s="46">
        <v>32</v>
      </c>
      <c r="I16" s="45">
        <v>16000</v>
      </c>
      <c r="J16" s="45">
        <v>600400</v>
      </c>
    </row>
    <row r="17" spans="1:10">
      <c r="A17" s="43"/>
      <c r="B17" s="43"/>
      <c r="C17" s="43"/>
      <c r="D17" s="44" t="s">
        <v>392</v>
      </c>
      <c r="E17" s="43"/>
      <c r="F17" s="1" t="s">
        <v>393</v>
      </c>
      <c r="G17" s="46" t="s">
        <v>236</v>
      </c>
      <c r="H17" s="46" t="s">
        <v>69</v>
      </c>
      <c r="I17" s="45">
        <v>12330917.359999999</v>
      </c>
      <c r="J17" s="45">
        <v>12330917.359999999</v>
      </c>
    </row>
    <row r="18" spans="1:10">
      <c r="A18" s="43"/>
      <c r="B18" s="43"/>
      <c r="C18" s="43"/>
      <c r="D18" s="44" t="s">
        <v>394</v>
      </c>
      <c r="E18" s="43"/>
      <c r="F18" s="1" t="s">
        <v>395</v>
      </c>
      <c r="G18" s="46" t="s">
        <v>236</v>
      </c>
      <c r="H18" s="46">
        <v>76</v>
      </c>
      <c r="I18" s="45">
        <v>17000</v>
      </c>
      <c r="J18" s="45">
        <v>1538900</v>
      </c>
    </row>
    <row r="19" spans="1:10">
      <c r="A19" s="43"/>
      <c r="B19" s="43"/>
      <c r="C19" s="43"/>
      <c r="D19" s="44" t="s">
        <v>396</v>
      </c>
      <c r="E19" s="43"/>
      <c r="F19" s="1" t="s">
        <v>397</v>
      </c>
      <c r="G19" s="46" t="s">
        <v>236</v>
      </c>
      <c r="H19" s="46">
        <v>92</v>
      </c>
      <c r="I19" s="45">
        <v>17000</v>
      </c>
      <c r="J19" s="45">
        <v>1881300</v>
      </c>
    </row>
    <row r="20" spans="1:10">
      <c r="A20" s="43"/>
      <c r="B20" s="43"/>
      <c r="C20" s="43"/>
      <c r="D20" s="44" t="s">
        <v>398</v>
      </c>
      <c r="E20" s="43"/>
      <c r="F20" s="1" t="s">
        <v>399</v>
      </c>
      <c r="G20" s="46" t="s">
        <v>400</v>
      </c>
      <c r="H20" s="46">
        <v>4</v>
      </c>
      <c r="I20" s="45">
        <v>45000</v>
      </c>
      <c r="J20" s="45">
        <v>193500</v>
      </c>
    </row>
    <row r="21" spans="1:10">
      <c r="A21" s="43"/>
      <c r="B21" s="43"/>
      <c r="C21" s="43"/>
      <c r="D21" s="44" t="s">
        <v>401</v>
      </c>
      <c r="E21" s="43"/>
      <c r="F21" s="1" t="s">
        <v>73</v>
      </c>
      <c r="G21" s="46" t="s">
        <v>74</v>
      </c>
      <c r="H21" s="46">
        <v>10</v>
      </c>
      <c r="I21" s="45">
        <v>219600</v>
      </c>
      <c r="J21" s="45">
        <v>2360700</v>
      </c>
    </row>
    <row r="22" spans="1:10">
      <c r="A22" s="43"/>
      <c r="B22" s="43"/>
      <c r="C22" s="43"/>
      <c r="D22" s="44" t="s">
        <v>402</v>
      </c>
      <c r="E22" s="43"/>
      <c r="F22" s="1" t="s">
        <v>77</v>
      </c>
      <c r="G22" s="46" t="s">
        <v>403</v>
      </c>
      <c r="H22" s="46">
        <v>10</v>
      </c>
      <c r="I22" s="45">
        <v>195000</v>
      </c>
      <c r="J22" s="45">
        <v>2096250</v>
      </c>
    </row>
    <row r="23" spans="1:10">
      <c r="A23" s="43"/>
      <c r="B23" s="43"/>
      <c r="C23" s="43"/>
      <c r="D23" s="44" t="s">
        <v>404</v>
      </c>
      <c r="E23" s="43"/>
      <c r="F23" s="1" t="s">
        <v>405</v>
      </c>
      <c r="G23" s="46" t="s">
        <v>26</v>
      </c>
      <c r="H23" s="46">
        <v>2</v>
      </c>
      <c r="I23" s="45">
        <v>2000000</v>
      </c>
      <c r="J23" s="45">
        <v>4300000</v>
      </c>
    </row>
    <row r="24" spans="1:10">
      <c r="A24" s="43"/>
      <c r="B24" s="43"/>
      <c r="C24" s="43"/>
      <c r="D24" s="44" t="s">
        <v>406</v>
      </c>
      <c r="E24" s="43"/>
      <c r="F24" s="1" t="s">
        <v>407</v>
      </c>
      <c r="G24" s="46" t="s">
        <v>368</v>
      </c>
      <c r="H24" s="46">
        <v>1</v>
      </c>
      <c r="I24" s="45">
        <v>700000</v>
      </c>
      <c r="J24" s="45">
        <v>752500</v>
      </c>
    </row>
    <row r="25" spans="1:10">
      <c r="A25" s="43"/>
      <c r="B25" s="43"/>
      <c r="C25" s="43"/>
      <c r="D25" s="44" t="s">
        <v>408</v>
      </c>
      <c r="E25" s="43"/>
      <c r="F25" s="1" t="s">
        <v>172</v>
      </c>
      <c r="G25" s="46" t="s">
        <v>388</v>
      </c>
      <c r="H25" s="46">
        <v>1</v>
      </c>
      <c r="I25" s="45">
        <v>1322100</v>
      </c>
      <c r="J25" s="45">
        <f>1.075*I25</f>
        <v>1421257.5</v>
      </c>
    </row>
    <row r="26" spans="1:10">
      <c r="A26" s="43"/>
      <c r="B26" s="43"/>
      <c r="C26" s="43"/>
      <c r="D26" s="44" t="s">
        <v>409</v>
      </c>
      <c r="E26" s="43"/>
      <c r="F26" s="1" t="s">
        <v>410</v>
      </c>
      <c r="G26" s="46" t="s">
        <v>411</v>
      </c>
      <c r="H26" s="46">
        <v>3</v>
      </c>
      <c r="I26" s="45">
        <v>282000</v>
      </c>
      <c r="J26" s="45">
        <v>727560</v>
      </c>
    </row>
    <row r="27" spans="1:10">
      <c r="A27" s="43"/>
      <c r="B27" s="43"/>
      <c r="C27" s="43"/>
      <c r="D27" s="44" t="s">
        <v>412</v>
      </c>
      <c r="E27" s="43"/>
      <c r="F27" s="1" t="s">
        <v>413</v>
      </c>
      <c r="G27" s="46" t="s">
        <v>388</v>
      </c>
      <c r="H27" s="46">
        <v>1</v>
      </c>
      <c r="I27" s="45">
        <v>693820</v>
      </c>
      <c r="J27" s="45">
        <v>745856.5</v>
      </c>
    </row>
    <row r="28" spans="1:10">
      <c r="A28" s="43"/>
      <c r="B28" s="43"/>
      <c r="C28" s="43"/>
      <c r="D28" s="44" t="s">
        <v>414</v>
      </c>
      <c r="E28" s="43"/>
      <c r="F28" s="1" t="s">
        <v>415</v>
      </c>
      <c r="G28" s="46" t="s">
        <v>82</v>
      </c>
      <c r="H28" s="46" t="s">
        <v>69</v>
      </c>
      <c r="I28" s="45">
        <v>4914198.5599999996</v>
      </c>
      <c r="J28" s="45">
        <v>4914198.5599999996</v>
      </c>
    </row>
    <row r="29" spans="1:10">
      <c r="A29" s="43"/>
      <c r="B29" s="43"/>
      <c r="C29" s="43"/>
      <c r="D29" s="44" t="s">
        <v>416</v>
      </c>
      <c r="E29" s="43"/>
      <c r="F29" s="2" t="s">
        <v>417</v>
      </c>
      <c r="G29" s="46" t="s">
        <v>418</v>
      </c>
      <c r="H29" s="46" t="s">
        <v>69</v>
      </c>
      <c r="I29" s="45">
        <v>4547036.3499999996</v>
      </c>
      <c r="J29" s="45">
        <v>4547036.3499999996</v>
      </c>
    </row>
    <row r="30" spans="1:10">
      <c r="A30" s="43"/>
      <c r="B30" s="43"/>
      <c r="C30" s="43"/>
      <c r="D30" s="44" t="s">
        <v>419</v>
      </c>
      <c r="E30" s="43"/>
      <c r="F30" s="2" t="s">
        <v>420</v>
      </c>
      <c r="G30" s="46" t="s">
        <v>421</v>
      </c>
      <c r="H30" s="46">
        <v>1</v>
      </c>
      <c r="I30" s="45">
        <v>242000000</v>
      </c>
      <c r="J30" s="45">
        <v>249525000</v>
      </c>
    </row>
    <row r="31" spans="1:10">
      <c r="A31" s="43"/>
      <c r="B31" s="43"/>
      <c r="C31" s="43"/>
      <c r="D31" s="44" t="s">
        <v>422</v>
      </c>
      <c r="E31" s="43"/>
      <c r="F31" s="1" t="s">
        <v>410</v>
      </c>
      <c r="G31" s="46" t="s">
        <v>403</v>
      </c>
      <c r="H31" s="46" t="s">
        <v>69</v>
      </c>
      <c r="I31" s="45">
        <v>1029762.5</v>
      </c>
      <c r="J31" s="45">
        <v>1029762.5</v>
      </c>
    </row>
    <row r="32" spans="1:10">
      <c r="A32" s="43"/>
      <c r="B32" s="43"/>
      <c r="C32" s="43"/>
      <c r="D32" s="44" t="s">
        <v>423</v>
      </c>
      <c r="E32" s="43"/>
      <c r="F32" s="1" t="s">
        <v>410</v>
      </c>
      <c r="G32" s="46" t="s">
        <v>74</v>
      </c>
      <c r="H32" s="46" t="s">
        <v>69</v>
      </c>
      <c r="I32" s="45">
        <v>944323</v>
      </c>
      <c r="J32" s="45">
        <v>944323</v>
      </c>
    </row>
    <row r="33" spans="1:10">
      <c r="A33" s="43"/>
      <c r="B33" s="43"/>
      <c r="C33" s="43"/>
      <c r="D33" s="44" t="s">
        <v>424</v>
      </c>
      <c r="E33" s="43"/>
      <c r="F33" s="1" t="s">
        <v>73</v>
      </c>
      <c r="G33" s="46" t="s">
        <v>403</v>
      </c>
      <c r="H33" s="46" t="s">
        <v>69</v>
      </c>
      <c r="I33" s="45">
        <v>1029762.5</v>
      </c>
      <c r="J33" s="45">
        <v>1029762.5</v>
      </c>
    </row>
    <row r="34" spans="1:10">
      <c r="A34" s="43"/>
      <c r="B34" s="43"/>
      <c r="C34" s="43"/>
      <c r="D34" s="44" t="s">
        <v>425</v>
      </c>
      <c r="E34" s="43"/>
      <c r="F34" s="1" t="s">
        <v>73</v>
      </c>
      <c r="G34" s="46" t="s">
        <v>74</v>
      </c>
      <c r="H34" s="46" t="s">
        <v>69</v>
      </c>
      <c r="I34" s="45">
        <v>944323</v>
      </c>
      <c r="J34" s="45">
        <v>944323</v>
      </c>
    </row>
    <row r="35" spans="1:10">
      <c r="A35" s="43"/>
      <c r="B35" s="43"/>
      <c r="C35" s="43"/>
      <c r="D35" s="44" t="s">
        <v>426</v>
      </c>
      <c r="E35" s="43"/>
      <c r="F35" s="1" t="s">
        <v>349</v>
      </c>
      <c r="G35" s="46" t="str">
        <f>G36</f>
        <v>cobbikonsult</v>
      </c>
      <c r="H35" s="46">
        <v>2</v>
      </c>
      <c r="I35" s="45">
        <v>224400</v>
      </c>
      <c r="J35" s="45">
        <v>482460</v>
      </c>
    </row>
    <row r="36" spans="1:10">
      <c r="A36" s="43"/>
      <c r="B36" s="43"/>
      <c r="C36" s="43"/>
      <c r="D36" s="44" t="s">
        <v>427</v>
      </c>
      <c r="E36" s="43"/>
      <c r="F36" s="1" t="s">
        <v>428</v>
      </c>
      <c r="G36" s="46" t="s">
        <v>368</v>
      </c>
      <c r="H36" s="46">
        <v>1</v>
      </c>
      <c r="I36" s="45">
        <v>260000</v>
      </c>
      <c r="J36" s="45">
        <v>279500</v>
      </c>
    </row>
    <row r="37" spans="1:10">
      <c r="A37" s="43"/>
      <c r="B37" s="43"/>
      <c r="C37" s="43"/>
      <c r="D37" s="44" t="s">
        <v>429</v>
      </c>
      <c r="E37" s="43"/>
      <c r="F37" s="2" t="s">
        <v>430</v>
      </c>
      <c r="G37" s="46" t="str">
        <f>G38</f>
        <v>pajuno Development</v>
      </c>
      <c r="H37" s="46">
        <v>1</v>
      </c>
      <c r="I37" s="45">
        <v>8000000</v>
      </c>
      <c r="J37" s="45">
        <v>8600000</v>
      </c>
    </row>
    <row r="38" spans="1:10">
      <c r="A38" s="43"/>
      <c r="B38" s="43"/>
      <c r="C38" s="43"/>
      <c r="D38" s="44" t="s">
        <v>431</v>
      </c>
      <c r="E38" s="43"/>
      <c r="F38" s="1" t="s">
        <v>238</v>
      </c>
      <c r="G38" s="46" t="s">
        <v>432</v>
      </c>
      <c r="H38" s="46">
        <v>100</v>
      </c>
      <c r="I38" s="45">
        <v>48000</v>
      </c>
      <c r="J38" s="45">
        <v>5160000</v>
      </c>
    </row>
    <row r="39" spans="1:10">
      <c r="A39" s="43"/>
      <c r="B39" s="43"/>
      <c r="C39" s="43"/>
      <c r="D39" s="44" t="s">
        <v>433</v>
      </c>
      <c r="E39" s="43"/>
      <c r="F39" s="1" t="s">
        <v>434</v>
      </c>
      <c r="G39" s="46" t="s">
        <v>435</v>
      </c>
      <c r="H39" s="46" t="s">
        <v>69</v>
      </c>
      <c r="I39" s="45">
        <v>1750000</v>
      </c>
      <c r="J39" s="45">
        <v>1750000</v>
      </c>
    </row>
    <row r="40" spans="1:10">
      <c r="A40" s="43"/>
      <c r="B40" s="43"/>
      <c r="C40" s="43"/>
      <c r="D40" s="44" t="s">
        <v>436</v>
      </c>
      <c r="E40" s="43"/>
      <c r="F40" s="2" t="s">
        <v>437</v>
      </c>
      <c r="G40" s="46" t="s">
        <v>438</v>
      </c>
      <c r="H40" s="46">
        <v>425</v>
      </c>
      <c r="I40" s="45">
        <v>4000</v>
      </c>
      <c r="J40" s="45">
        <v>1700000</v>
      </c>
    </row>
    <row r="41" spans="1:10">
      <c r="A41" s="43"/>
      <c r="B41" s="43"/>
      <c r="C41" s="43"/>
      <c r="D41" s="44" t="s">
        <v>439</v>
      </c>
      <c r="E41" s="43"/>
      <c r="F41" s="1" t="s">
        <v>113</v>
      </c>
      <c r="G41" s="46" t="s">
        <v>116</v>
      </c>
      <c r="H41" s="46" t="s">
        <v>69</v>
      </c>
      <c r="I41" s="45">
        <v>3510500</v>
      </c>
      <c r="J41" s="45">
        <v>3510500</v>
      </c>
    </row>
    <row r="42" spans="1:10">
      <c r="A42" s="43"/>
      <c r="B42" s="43"/>
      <c r="C42" s="43"/>
      <c r="D42" s="44" t="s">
        <v>440</v>
      </c>
      <c r="E42" s="43"/>
      <c r="F42" s="1" t="s">
        <v>95</v>
      </c>
      <c r="G42" s="46" t="s">
        <v>365</v>
      </c>
      <c r="H42" s="46" t="s">
        <v>69</v>
      </c>
      <c r="I42" s="45">
        <v>7584000</v>
      </c>
      <c r="J42" s="45">
        <v>7584000</v>
      </c>
    </row>
    <row r="43" spans="1:10">
      <c r="A43" s="43"/>
      <c r="B43" s="43"/>
      <c r="C43" s="43"/>
      <c r="D43" s="44" t="s">
        <v>441</v>
      </c>
      <c r="E43" s="43"/>
      <c r="F43" s="1" t="s">
        <v>442</v>
      </c>
      <c r="G43" s="46" t="s">
        <v>236</v>
      </c>
      <c r="H43" s="46" t="s">
        <v>69</v>
      </c>
      <c r="I43" s="45">
        <v>36885252.079999998</v>
      </c>
      <c r="J43" s="45">
        <v>36885252.079999998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76D7-A063-46FA-ACC0-20B300149F4D}">
  <dimension ref="A1:K41"/>
  <sheetViews>
    <sheetView topLeftCell="D1" workbookViewId="0">
      <selection activeCell="D1" sqref="A1:XFD1048576"/>
    </sheetView>
  </sheetViews>
  <sheetFormatPr defaultRowHeight="15"/>
  <cols>
    <col min="1" max="1" width="5.5703125" bestFit="1" customWidth="1"/>
    <col min="2" max="2" width="20.42578125" bestFit="1" customWidth="1"/>
    <col min="3" max="3" width="23.42578125" bestFit="1" customWidth="1"/>
    <col min="4" max="4" width="22.7109375" bestFit="1" customWidth="1"/>
    <col min="5" max="5" width="32.42578125" customWidth="1"/>
    <col min="6" max="6" width="93.5703125" bestFit="1" customWidth="1"/>
    <col min="7" max="7" width="36" bestFit="1" customWidth="1"/>
    <col min="8" max="8" width="10.42578125" style="21" bestFit="1" customWidth="1"/>
    <col min="9" max="9" width="18.5703125" style="20" customWidth="1"/>
    <col min="10" max="10" width="16.140625" style="20" customWidth="1"/>
    <col min="11" max="11" width="15" customWidth="1"/>
  </cols>
  <sheetData>
    <row r="1" spans="1:11" ht="84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56" t="s">
        <v>443</v>
      </c>
      <c r="J1" s="56" t="s">
        <v>9</v>
      </c>
      <c r="K1" t="s">
        <v>444</v>
      </c>
    </row>
    <row r="2" spans="1:11">
      <c r="A2">
        <v>1</v>
      </c>
      <c r="B2" s="57">
        <v>45842</v>
      </c>
      <c r="C2" s="57">
        <v>45845</v>
      </c>
      <c r="D2" t="s">
        <v>445</v>
      </c>
      <c r="E2" t="s">
        <v>446</v>
      </c>
      <c r="F2" s="63" t="s">
        <v>447</v>
      </c>
      <c r="G2" t="s">
        <v>448</v>
      </c>
      <c r="H2" s="21">
        <v>1</v>
      </c>
      <c r="I2" s="20">
        <v>2700000</v>
      </c>
      <c r="J2" s="20">
        <v>2902500</v>
      </c>
    </row>
    <row r="3" spans="1:11">
      <c r="A3">
        <v>2</v>
      </c>
      <c r="B3" s="57">
        <v>45842</v>
      </c>
      <c r="C3" s="57">
        <v>45845</v>
      </c>
      <c r="D3" t="s">
        <v>449</v>
      </c>
      <c r="E3" t="s">
        <v>450</v>
      </c>
      <c r="F3" s="63" t="s">
        <v>451</v>
      </c>
      <c r="G3" t="s">
        <v>452</v>
      </c>
      <c r="H3" s="21">
        <v>1</v>
      </c>
      <c r="I3" s="20">
        <v>1086894.74</v>
      </c>
      <c r="J3" s="20">
        <v>1168411.8500000001</v>
      </c>
    </row>
    <row r="4" spans="1:11">
      <c r="A4">
        <v>3</v>
      </c>
      <c r="B4" s="57">
        <v>45846</v>
      </c>
      <c r="C4" s="57">
        <v>45851</v>
      </c>
      <c r="D4" t="s">
        <v>453</v>
      </c>
      <c r="E4" t="s">
        <v>31</v>
      </c>
      <c r="F4" t="s">
        <v>454</v>
      </c>
      <c r="G4" t="s">
        <v>455</v>
      </c>
      <c r="H4" s="21">
        <v>5000</v>
      </c>
      <c r="I4" s="20">
        <v>6412.17</v>
      </c>
      <c r="J4" s="20">
        <v>34465413.75</v>
      </c>
    </row>
    <row r="5" spans="1:11">
      <c r="A5">
        <v>4</v>
      </c>
      <c r="B5" s="57">
        <v>45848</v>
      </c>
      <c r="C5" t="s">
        <v>456</v>
      </c>
      <c r="D5" t="s">
        <v>453</v>
      </c>
      <c r="E5" t="s">
        <v>31</v>
      </c>
      <c r="F5" t="s">
        <v>457</v>
      </c>
      <c r="G5" t="s">
        <v>458</v>
      </c>
      <c r="H5" s="21" t="s">
        <v>69</v>
      </c>
      <c r="J5" s="58">
        <v>124412.57</v>
      </c>
    </row>
    <row r="6" spans="1:11">
      <c r="A6">
        <v>5</v>
      </c>
      <c r="B6" s="57">
        <v>45869</v>
      </c>
      <c r="C6" s="57">
        <v>45833</v>
      </c>
      <c r="D6" t="s">
        <v>459</v>
      </c>
      <c r="E6" t="s">
        <v>460</v>
      </c>
      <c r="F6" t="s">
        <v>461</v>
      </c>
      <c r="G6" t="s">
        <v>462</v>
      </c>
      <c r="H6" s="21">
        <v>13</v>
      </c>
      <c r="J6" s="20">
        <v>2419395</v>
      </c>
    </row>
    <row r="7" spans="1:11">
      <c r="A7">
        <v>6</v>
      </c>
      <c r="B7" s="57">
        <v>45846</v>
      </c>
      <c r="C7" s="57">
        <v>45849</v>
      </c>
      <c r="D7" t="s">
        <v>463</v>
      </c>
      <c r="E7" s="63" t="s">
        <v>31</v>
      </c>
      <c r="F7" s="64" t="s">
        <v>464</v>
      </c>
      <c r="G7" t="s">
        <v>465</v>
      </c>
      <c r="H7" s="21">
        <v>3</v>
      </c>
      <c r="I7" s="20">
        <v>467250</v>
      </c>
      <c r="J7" s="20">
        <v>1506881.25</v>
      </c>
    </row>
    <row r="8" spans="1:11">
      <c r="A8">
        <v>7</v>
      </c>
      <c r="B8" s="57">
        <v>45846</v>
      </c>
      <c r="C8" s="57">
        <v>45846</v>
      </c>
      <c r="D8" t="s">
        <v>466</v>
      </c>
      <c r="E8" s="63" t="s">
        <v>31</v>
      </c>
      <c r="F8" s="64" t="s">
        <v>467</v>
      </c>
      <c r="G8" t="s">
        <v>468</v>
      </c>
      <c r="H8" s="21">
        <v>4</v>
      </c>
      <c r="I8" s="20">
        <v>175000</v>
      </c>
      <c r="J8" s="20">
        <v>752500</v>
      </c>
    </row>
    <row r="9" spans="1:11">
      <c r="A9">
        <v>8</v>
      </c>
      <c r="B9" s="57">
        <v>45846</v>
      </c>
      <c r="C9" s="57">
        <v>45849</v>
      </c>
      <c r="D9" t="s">
        <v>469</v>
      </c>
      <c r="E9" s="63" t="s">
        <v>31</v>
      </c>
      <c r="F9" s="64" t="s">
        <v>470</v>
      </c>
      <c r="G9" t="s">
        <v>471</v>
      </c>
      <c r="H9" s="21">
        <v>4</v>
      </c>
      <c r="I9" s="20">
        <v>525000</v>
      </c>
      <c r="J9" s="20">
        <v>2257500</v>
      </c>
    </row>
    <row r="10" spans="1:11">
      <c r="A10">
        <v>9</v>
      </c>
      <c r="B10" s="57">
        <v>45846</v>
      </c>
      <c r="C10" s="57">
        <v>45849</v>
      </c>
      <c r="D10" t="s">
        <v>472</v>
      </c>
      <c r="E10" s="63" t="s">
        <v>31</v>
      </c>
      <c r="F10" s="64" t="s">
        <v>473</v>
      </c>
      <c r="G10" t="s">
        <v>474</v>
      </c>
      <c r="H10" s="21">
        <v>12</v>
      </c>
      <c r="I10" s="20">
        <v>257000</v>
      </c>
      <c r="J10" s="20">
        <v>3315300</v>
      </c>
    </row>
    <row r="11" spans="1:11">
      <c r="A11">
        <v>10</v>
      </c>
      <c r="B11" s="57">
        <v>45846</v>
      </c>
      <c r="C11" s="57">
        <v>45849</v>
      </c>
      <c r="D11" t="s">
        <v>475</v>
      </c>
      <c r="E11" t="s">
        <v>476</v>
      </c>
      <c r="F11" s="64" t="s">
        <v>477</v>
      </c>
      <c r="G11" t="s">
        <v>478</v>
      </c>
      <c r="H11" s="21">
        <v>11</v>
      </c>
      <c r="J11" s="20">
        <v>5363771.63</v>
      </c>
    </row>
    <row r="12" spans="1:11">
      <c r="A12">
        <v>11</v>
      </c>
      <c r="B12" s="57">
        <v>45847</v>
      </c>
      <c r="C12" s="57">
        <v>45849</v>
      </c>
      <c r="D12" t="s">
        <v>479</v>
      </c>
      <c r="E12" s="63" t="s">
        <v>31</v>
      </c>
      <c r="F12" s="64" t="s">
        <v>480</v>
      </c>
      <c r="G12" t="s">
        <v>481</v>
      </c>
      <c r="H12" s="21">
        <v>3</v>
      </c>
      <c r="I12" s="20">
        <v>115000</v>
      </c>
      <c r="J12" s="20">
        <v>370875</v>
      </c>
    </row>
    <row r="13" spans="1:11">
      <c r="A13">
        <v>12</v>
      </c>
      <c r="B13" s="57">
        <v>45847</v>
      </c>
      <c r="C13" s="57">
        <v>45854</v>
      </c>
      <c r="D13" t="s">
        <v>482</v>
      </c>
      <c r="E13" t="s">
        <v>483</v>
      </c>
      <c r="F13" s="64" t="s">
        <v>484</v>
      </c>
      <c r="G13" t="s">
        <v>485</v>
      </c>
      <c r="H13" s="21">
        <v>1</v>
      </c>
      <c r="I13" s="20">
        <v>1212772.5</v>
      </c>
      <c r="J13" s="20">
        <v>1303730.44</v>
      </c>
    </row>
    <row r="14" spans="1:11">
      <c r="A14">
        <v>13</v>
      </c>
      <c r="B14" s="57">
        <v>45847</v>
      </c>
      <c r="C14" s="57">
        <v>45848</v>
      </c>
      <c r="D14" t="s">
        <v>486</v>
      </c>
      <c r="E14" s="59" t="s">
        <v>487</v>
      </c>
      <c r="F14" s="64" t="s">
        <v>484</v>
      </c>
      <c r="G14" t="s">
        <v>488</v>
      </c>
      <c r="H14" s="21">
        <v>1</v>
      </c>
      <c r="I14" s="20">
        <v>848996</v>
      </c>
      <c r="J14" s="20">
        <v>912670.7</v>
      </c>
      <c r="K14" s="20">
        <f>SUM(J7:J14)</f>
        <v>15783229.019999998</v>
      </c>
    </row>
    <row r="15" spans="1:11">
      <c r="A15">
        <v>14</v>
      </c>
      <c r="B15" s="57">
        <v>45849</v>
      </c>
      <c r="C15" s="57">
        <v>45856</v>
      </c>
      <c r="D15" t="s">
        <v>489</v>
      </c>
      <c r="E15" t="s">
        <v>31</v>
      </c>
      <c r="F15" t="s">
        <v>454</v>
      </c>
      <c r="G15" t="s">
        <v>455</v>
      </c>
      <c r="H15" s="21">
        <v>5000</v>
      </c>
      <c r="I15" s="20">
        <v>6240</v>
      </c>
      <c r="J15" s="20">
        <v>33540000</v>
      </c>
    </row>
    <row r="16" spans="1:11">
      <c r="A16">
        <v>15</v>
      </c>
      <c r="B16" s="57">
        <v>45854</v>
      </c>
      <c r="C16" s="57">
        <v>45872</v>
      </c>
      <c r="D16" t="s">
        <v>490</v>
      </c>
      <c r="E16" t="s">
        <v>31</v>
      </c>
      <c r="F16" t="s">
        <v>491</v>
      </c>
      <c r="G16" t="s">
        <v>492</v>
      </c>
      <c r="H16" s="21">
        <v>1</v>
      </c>
      <c r="I16" s="20">
        <v>22000000</v>
      </c>
      <c r="J16" s="20">
        <v>23650000</v>
      </c>
      <c r="K16" s="20"/>
    </row>
    <row r="17" spans="1:10">
      <c r="A17">
        <v>16</v>
      </c>
      <c r="B17" s="57">
        <v>45854</v>
      </c>
      <c r="C17" s="57">
        <v>45860</v>
      </c>
      <c r="D17" t="s">
        <v>493</v>
      </c>
      <c r="E17" t="s">
        <v>31</v>
      </c>
      <c r="F17" s="63" t="s">
        <v>494</v>
      </c>
      <c r="G17" t="s">
        <v>452</v>
      </c>
      <c r="H17" s="21">
        <v>3</v>
      </c>
      <c r="I17" s="20">
        <v>1086894.74</v>
      </c>
      <c r="J17" s="20">
        <v>3505235.54</v>
      </c>
    </row>
    <row r="18" spans="1:10">
      <c r="A18">
        <v>17</v>
      </c>
      <c r="B18" s="57">
        <v>45854</v>
      </c>
      <c r="C18" s="57">
        <v>45859</v>
      </c>
      <c r="D18" t="s">
        <v>495</v>
      </c>
      <c r="E18" t="s">
        <v>31</v>
      </c>
      <c r="F18" t="s">
        <v>496</v>
      </c>
      <c r="G18" t="s">
        <v>497</v>
      </c>
      <c r="H18" s="21">
        <v>50</v>
      </c>
      <c r="I18" s="20">
        <v>58000</v>
      </c>
      <c r="J18" s="20">
        <v>3147500</v>
      </c>
    </row>
    <row r="19" spans="1:10">
      <c r="A19">
        <v>18</v>
      </c>
      <c r="B19" s="57">
        <v>45854</v>
      </c>
      <c r="C19" s="57">
        <v>45856</v>
      </c>
      <c r="D19" t="s">
        <v>498</v>
      </c>
      <c r="E19" s="63" t="s">
        <v>499</v>
      </c>
      <c r="F19" t="s">
        <v>500</v>
      </c>
      <c r="G19" t="s">
        <v>501</v>
      </c>
      <c r="H19" s="21">
        <v>9</v>
      </c>
      <c r="J19" s="20">
        <v>11862625</v>
      </c>
    </row>
    <row r="20" spans="1:10">
      <c r="A20">
        <v>19</v>
      </c>
      <c r="B20" s="57">
        <v>45838</v>
      </c>
      <c r="C20" s="57">
        <v>45840</v>
      </c>
      <c r="D20" t="s">
        <v>502</v>
      </c>
      <c r="E20" t="s">
        <v>94</v>
      </c>
      <c r="F20" t="s">
        <v>503</v>
      </c>
      <c r="G20" t="s">
        <v>504</v>
      </c>
      <c r="H20" s="21">
        <v>1800</v>
      </c>
      <c r="I20" s="20">
        <v>4000</v>
      </c>
      <c r="J20" s="20">
        <v>7200000</v>
      </c>
    </row>
    <row r="21" spans="1:10">
      <c r="A21">
        <v>20</v>
      </c>
      <c r="B21" s="57">
        <v>45838</v>
      </c>
      <c r="C21" s="57">
        <v>45477</v>
      </c>
      <c r="D21" t="s">
        <v>505</v>
      </c>
      <c r="E21" t="s">
        <v>94</v>
      </c>
      <c r="F21" t="s">
        <v>506</v>
      </c>
      <c r="G21" t="s">
        <v>507</v>
      </c>
      <c r="H21" s="60">
        <v>1090</v>
      </c>
      <c r="J21" s="20">
        <v>2559300</v>
      </c>
    </row>
    <row r="22" spans="1:10">
      <c r="A22">
        <v>21</v>
      </c>
    </row>
    <row r="23" spans="1:10">
      <c r="A23">
        <v>22</v>
      </c>
      <c r="B23" s="57">
        <v>45862</v>
      </c>
      <c r="C23" s="57">
        <v>45868</v>
      </c>
      <c r="D23" t="s">
        <v>508</v>
      </c>
      <c r="E23" t="s">
        <v>509</v>
      </c>
      <c r="F23" t="s">
        <v>510</v>
      </c>
      <c r="G23" t="s">
        <v>511</v>
      </c>
      <c r="H23" s="21">
        <v>20</v>
      </c>
      <c r="I23" s="20">
        <v>17000</v>
      </c>
      <c r="J23" s="20">
        <v>415500</v>
      </c>
    </row>
    <row r="24" spans="1:10">
      <c r="A24">
        <v>23</v>
      </c>
    </row>
    <row r="25" spans="1:10">
      <c r="A25">
        <v>24</v>
      </c>
      <c r="B25" s="57">
        <v>45863</v>
      </c>
      <c r="C25" s="57">
        <v>45868</v>
      </c>
      <c r="D25" t="s">
        <v>512</v>
      </c>
      <c r="E25" t="s">
        <v>513</v>
      </c>
      <c r="F25" t="s">
        <v>514</v>
      </c>
      <c r="G25" s="62" t="s">
        <v>515</v>
      </c>
      <c r="H25" s="21">
        <v>1</v>
      </c>
      <c r="I25" s="20">
        <v>224000</v>
      </c>
      <c r="J25" s="20">
        <v>240500</v>
      </c>
    </row>
    <row r="26" spans="1:10">
      <c r="A26">
        <v>25</v>
      </c>
      <c r="B26" s="57">
        <v>45868</v>
      </c>
      <c r="C26" s="57">
        <v>45874</v>
      </c>
      <c r="D26" t="s">
        <v>516</v>
      </c>
      <c r="E26" s="63" t="s">
        <v>31</v>
      </c>
      <c r="F26" t="s">
        <v>517</v>
      </c>
      <c r="G26" t="s">
        <v>501</v>
      </c>
      <c r="H26" s="21">
        <v>4</v>
      </c>
      <c r="J26" s="20">
        <v>3913000</v>
      </c>
    </row>
    <row r="27" spans="1:10">
      <c r="A27">
        <v>26</v>
      </c>
      <c r="B27" s="57">
        <v>45869</v>
      </c>
      <c r="C27" s="57">
        <v>45870</v>
      </c>
      <c r="D27" t="s">
        <v>518</v>
      </c>
      <c r="E27" s="63" t="s">
        <v>519</v>
      </c>
      <c r="F27" t="s">
        <v>520</v>
      </c>
      <c r="G27" t="s">
        <v>501</v>
      </c>
      <c r="H27" s="21">
        <v>7</v>
      </c>
      <c r="J27" s="20">
        <v>14469500</v>
      </c>
    </row>
    <row r="28" spans="1:10">
      <c r="A28">
        <v>27</v>
      </c>
      <c r="B28" s="57">
        <v>45869</v>
      </c>
      <c r="C28" s="57">
        <v>45870</v>
      </c>
      <c r="D28" t="s">
        <v>521</v>
      </c>
      <c r="E28" t="s">
        <v>62</v>
      </c>
      <c r="F28" t="s">
        <v>522</v>
      </c>
      <c r="G28" t="s">
        <v>465</v>
      </c>
      <c r="H28" s="21">
        <v>1</v>
      </c>
      <c r="I28" s="20">
        <v>2126250</v>
      </c>
      <c r="J28" s="20">
        <v>2285718.75</v>
      </c>
    </row>
    <row r="29" spans="1:10">
      <c r="A29">
        <v>28</v>
      </c>
      <c r="B29" s="57">
        <v>45847</v>
      </c>
      <c r="C29" s="57">
        <v>45873</v>
      </c>
      <c r="D29" t="s">
        <v>523</v>
      </c>
      <c r="E29" t="s">
        <v>31</v>
      </c>
      <c r="F29" t="s">
        <v>524</v>
      </c>
      <c r="G29" t="s">
        <v>525</v>
      </c>
      <c r="H29" s="21" t="s">
        <v>69</v>
      </c>
      <c r="J29" s="20">
        <v>12718202.199999999</v>
      </c>
    </row>
    <row r="30" spans="1:10">
      <c r="A30">
        <v>29</v>
      </c>
      <c r="B30" s="57">
        <v>45847</v>
      </c>
      <c r="C30" s="57">
        <v>45873</v>
      </c>
      <c r="D30" t="s">
        <v>526</v>
      </c>
      <c r="E30" t="s">
        <v>31</v>
      </c>
      <c r="F30" t="s">
        <v>524</v>
      </c>
      <c r="G30" t="s">
        <v>527</v>
      </c>
      <c r="H30" s="21" t="s">
        <v>69</v>
      </c>
      <c r="J30" s="20">
        <v>15130158.75</v>
      </c>
    </row>
    <row r="31" spans="1:10">
      <c r="A31">
        <v>30</v>
      </c>
      <c r="B31" s="57">
        <v>45847</v>
      </c>
      <c r="C31" s="57">
        <v>45873</v>
      </c>
      <c r="D31" t="s">
        <v>528</v>
      </c>
      <c r="E31" t="s">
        <v>31</v>
      </c>
      <c r="F31" t="s">
        <v>524</v>
      </c>
      <c r="G31" t="s">
        <v>529</v>
      </c>
      <c r="H31" s="21" t="s">
        <v>69</v>
      </c>
      <c r="J31" s="20">
        <v>14442638.43</v>
      </c>
    </row>
    <row r="32" spans="1:10">
      <c r="A32">
        <v>31</v>
      </c>
      <c r="B32" s="57">
        <v>45847</v>
      </c>
      <c r="C32" s="57">
        <v>45873</v>
      </c>
      <c r="D32" t="s">
        <v>530</v>
      </c>
      <c r="E32" t="s">
        <v>31</v>
      </c>
      <c r="F32" t="s">
        <v>524</v>
      </c>
      <c r="G32" t="s">
        <v>531</v>
      </c>
      <c r="H32" s="21" t="s">
        <v>69</v>
      </c>
      <c r="J32" s="20">
        <v>7586436.2400000002</v>
      </c>
    </row>
    <row r="37" spans="10:10">
      <c r="J37" s="20">
        <v>7576147.3899999997</v>
      </c>
    </row>
    <row r="38" spans="10:10">
      <c r="J38" s="20">
        <v>1586162.5</v>
      </c>
    </row>
    <row r="41" spans="10:10">
      <c r="J41" s="67">
        <v>9162309.8900000006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C971-B2D0-4E64-BCDF-FB42D5E127A3}">
  <dimension ref="A1:N80"/>
  <sheetViews>
    <sheetView workbookViewId="0">
      <selection sqref="A1:XFD1048576"/>
    </sheetView>
  </sheetViews>
  <sheetFormatPr defaultRowHeight="15"/>
  <cols>
    <col min="1" max="1" width="5.140625" customWidth="1"/>
    <col min="2" max="2" width="16.140625" customWidth="1"/>
    <col min="3" max="3" width="15.85546875" customWidth="1"/>
    <col min="4" max="4" width="23.28515625" customWidth="1"/>
    <col min="5" max="5" width="37.28515625" customWidth="1"/>
    <col min="6" max="6" width="61.5703125" customWidth="1"/>
    <col min="7" max="7" width="31.7109375" bestFit="1" customWidth="1"/>
    <col min="8" max="8" width="12.42578125" style="21" customWidth="1"/>
    <col min="9" max="9" width="20.5703125" style="65" customWidth="1"/>
    <col min="10" max="11" width="16.28515625" style="20" customWidth="1"/>
    <col min="14" max="14" width="14.7109375" bestFit="1" customWidth="1"/>
  </cols>
  <sheetData>
    <row r="1" spans="1:14" ht="5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48" t="s">
        <v>443</v>
      </c>
      <c r="J1" s="56" t="s">
        <v>9</v>
      </c>
      <c r="K1" s="56" t="s">
        <v>532</v>
      </c>
      <c r="L1" s="43" t="s">
        <v>444</v>
      </c>
    </row>
    <row r="2" spans="1:14">
      <c r="A2" s="43">
        <v>32</v>
      </c>
      <c r="B2" s="72">
        <v>45870</v>
      </c>
      <c r="C2" s="72">
        <v>45873</v>
      </c>
      <c r="D2" s="43" t="s">
        <v>533</v>
      </c>
      <c r="E2" s="43" t="s">
        <v>534</v>
      </c>
      <c r="F2" s="43" t="s">
        <v>73</v>
      </c>
      <c r="G2" s="43" t="s">
        <v>535</v>
      </c>
      <c r="H2" s="46">
        <v>2</v>
      </c>
      <c r="I2" s="73"/>
      <c r="J2" s="50">
        <v>1029762.5</v>
      </c>
      <c r="K2" s="50"/>
      <c r="L2" s="43"/>
    </row>
    <row r="3" spans="1:14">
      <c r="A3" s="43">
        <v>33</v>
      </c>
      <c r="B3" s="72">
        <v>45870</v>
      </c>
      <c r="C3" s="72">
        <v>45873</v>
      </c>
      <c r="D3" s="43" t="s">
        <v>536</v>
      </c>
      <c r="E3" s="43" t="s">
        <v>534</v>
      </c>
      <c r="F3" s="43" t="s">
        <v>73</v>
      </c>
      <c r="G3" s="43" t="s">
        <v>537</v>
      </c>
      <c r="H3" s="46">
        <v>3</v>
      </c>
      <c r="I3" s="73"/>
      <c r="J3" s="50">
        <v>944323</v>
      </c>
      <c r="K3" s="50"/>
      <c r="L3" s="43"/>
    </row>
    <row r="4" spans="1:14">
      <c r="A4" s="43">
        <v>34</v>
      </c>
      <c r="B4" s="72">
        <v>45873</v>
      </c>
      <c r="C4" s="72">
        <v>45880</v>
      </c>
      <c r="D4" s="43" t="s">
        <v>538</v>
      </c>
      <c r="E4" s="43" t="s">
        <v>539</v>
      </c>
      <c r="F4" s="43" t="s">
        <v>540</v>
      </c>
      <c r="G4" s="43" t="s">
        <v>511</v>
      </c>
      <c r="H4" s="46">
        <v>32</v>
      </c>
      <c r="I4" s="73">
        <v>62800</v>
      </c>
      <c r="J4" s="50">
        <v>2240320</v>
      </c>
      <c r="K4" s="50"/>
      <c r="L4" s="43"/>
    </row>
    <row r="5" spans="1:14">
      <c r="A5" s="43">
        <v>35</v>
      </c>
      <c r="B5" s="72">
        <v>45873</v>
      </c>
      <c r="C5" s="72">
        <v>45880</v>
      </c>
      <c r="D5" s="43" t="s">
        <v>541</v>
      </c>
      <c r="E5" s="43" t="s">
        <v>542</v>
      </c>
      <c r="F5" s="43" t="s">
        <v>543</v>
      </c>
      <c r="G5" s="43" t="s">
        <v>544</v>
      </c>
      <c r="H5" s="46">
        <v>40</v>
      </c>
      <c r="I5" s="73">
        <v>100000</v>
      </c>
      <c r="J5" s="50">
        <v>4350000</v>
      </c>
      <c r="K5" s="50"/>
      <c r="L5" s="43"/>
    </row>
    <row r="6" spans="1:14">
      <c r="A6" s="43">
        <v>36</v>
      </c>
      <c r="B6" s="72">
        <v>45874</v>
      </c>
      <c r="C6" s="72">
        <v>45880</v>
      </c>
      <c r="D6" s="43" t="s">
        <v>545</v>
      </c>
      <c r="E6" s="43" t="s">
        <v>186</v>
      </c>
      <c r="F6" s="43" t="s">
        <v>546</v>
      </c>
      <c r="G6" s="43" t="s">
        <v>547</v>
      </c>
      <c r="H6" s="46">
        <v>65</v>
      </c>
      <c r="I6" s="73"/>
      <c r="J6" s="50">
        <v>2880340</v>
      </c>
      <c r="K6" s="50"/>
      <c r="L6" s="43"/>
    </row>
    <row r="7" spans="1:14">
      <c r="A7" s="43">
        <v>37</v>
      </c>
      <c r="B7" s="72">
        <v>45874</v>
      </c>
      <c r="C7" s="72">
        <v>45876</v>
      </c>
      <c r="D7" s="43" t="s">
        <v>548</v>
      </c>
      <c r="E7" s="43" t="s">
        <v>534</v>
      </c>
      <c r="F7" s="74" t="s">
        <v>549</v>
      </c>
      <c r="G7" s="43" t="s">
        <v>550</v>
      </c>
      <c r="H7" s="46">
        <v>1</v>
      </c>
      <c r="I7" s="73">
        <v>215000</v>
      </c>
      <c r="J7" s="50">
        <v>231125</v>
      </c>
      <c r="K7" s="50"/>
      <c r="L7" s="43"/>
    </row>
    <row r="8" spans="1:14">
      <c r="A8" s="43">
        <v>38</v>
      </c>
      <c r="B8" s="72">
        <v>45875</v>
      </c>
      <c r="C8" s="75">
        <v>45886</v>
      </c>
      <c r="D8" s="43" t="s">
        <v>551</v>
      </c>
      <c r="E8" s="43" t="s">
        <v>31</v>
      </c>
      <c r="F8" s="43" t="s">
        <v>552</v>
      </c>
      <c r="G8" s="76" t="s">
        <v>553</v>
      </c>
      <c r="H8" s="46" t="s">
        <v>554</v>
      </c>
      <c r="I8" s="73"/>
      <c r="J8" s="77">
        <v>8415798.7100000009</v>
      </c>
      <c r="K8" s="77"/>
      <c r="L8" s="43"/>
    </row>
    <row r="9" spans="1:14">
      <c r="A9" s="43">
        <v>39</v>
      </c>
      <c r="B9" s="72">
        <v>45875</v>
      </c>
      <c r="C9" s="72">
        <v>45886</v>
      </c>
      <c r="D9" s="43" t="s">
        <v>555</v>
      </c>
      <c r="E9" s="43" t="s">
        <v>556</v>
      </c>
      <c r="F9" s="43" t="s">
        <v>557</v>
      </c>
      <c r="G9" s="78" t="s">
        <v>558</v>
      </c>
      <c r="H9" s="46" t="s">
        <v>554</v>
      </c>
      <c r="I9" s="73"/>
      <c r="J9" s="50">
        <v>2695103.36</v>
      </c>
      <c r="K9" s="50"/>
      <c r="L9" s="43"/>
    </row>
    <row r="10" spans="1:14">
      <c r="A10" s="43">
        <v>40</v>
      </c>
      <c r="B10" s="72">
        <v>45875</v>
      </c>
      <c r="C10" s="72">
        <v>45875</v>
      </c>
      <c r="D10" s="43" t="s">
        <v>559</v>
      </c>
      <c r="E10" s="43" t="s">
        <v>560</v>
      </c>
      <c r="F10" s="43" t="s">
        <v>557</v>
      </c>
      <c r="G10" s="43" t="s">
        <v>561</v>
      </c>
      <c r="H10" s="46" t="s">
        <v>554</v>
      </c>
      <c r="I10" s="73"/>
      <c r="J10" s="50">
        <v>7118282.3300000001</v>
      </c>
      <c r="K10" s="50"/>
      <c r="L10" s="43"/>
    </row>
    <row r="11" spans="1:14">
      <c r="A11" s="43">
        <v>41</v>
      </c>
      <c r="B11" s="72">
        <v>45875</v>
      </c>
      <c r="C11" s="72">
        <v>45879</v>
      </c>
      <c r="D11" s="43" t="s">
        <v>562</v>
      </c>
      <c r="E11" s="43" t="s">
        <v>563</v>
      </c>
      <c r="F11" s="43" t="s">
        <v>564</v>
      </c>
      <c r="G11" s="43" t="s">
        <v>529</v>
      </c>
      <c r="H11" s="46" t="s">
        <v>554</v>
      </c>
      <c r="I11" s="73"/>
      <c r="J11" s="50">
        <v>4129800.62</v>
      </c>
      <c r="K11" s="50"/>
      <c r="L11" s="43"/>
    </row>
    <row r="12" spans="1:14">
      <c r="A12" s="43">
        <v>42</v>
      </c>
      <c r="B12" s="72">
        <v>45875</v>
      </c>
      <c r="C12" s="72">
        <v>45879</v>
      </c>
      <c r="D12" s="43" t="s">
        <v>565</v>
      </c>
      <c r="E12" s="43" t="s">
        <v>566</v>
      </c>
      <c r="F12" s="43" t="s">
        <v>524</v>
      </c>
      <c r="G12" s="43" t="s">
        <v>525</v>
      </c>
      <c r="H12" s="46" t="s">
        <v>554</v>
      </c>
      <c r="I12" s="73"/>
      <c r="J12" s="50">
        <v>2064900.31</v>
      </c>
      <c r="K12" s="50"/>
      <c r="L12" s="43"/>
    </row>
    <row r="13" spans="1:14">
      <c r="A13" s="43">
        <v>43</v>
      </c>
      <c r="B13" s="72">
        <v>45875</v>
      </c>
      <c r="C13" s="72">
        <v>45879</v>
      </c>
      <c r="D13" s="43" t="s">
        <v>567</v>
      </c>
      <c r="E13" s="43" t="s">
        <v>568</v>
      </c>
      <c r="F13" s="43" t="s">
        <v>564</v>
      </c>
      <c r="G13" s="43" t="s">
        <v>531</v>
      </c>
      <c r="H13" s="46" t="s">
        <v>554</v>
      </c>
      <c r="I13" s="73"/>
      <c r="J13" s="50">
        <v>2113638.13</v>
      </c>
      <c r="K13" s="50"/>
      <c r="L13" s="43"/>
      <c r="N13" s="20">
        <v>16194893</v>
      </c>
    </row>
    <row r="14" spans="1:14">
      <c r="A14" s="43">
        <v>44</v>
      </c>
      <c r="B14" s="72">
        <v>45875</v>
      </c>
      <c r="C14" s="72">
        <v>45879</v>
      </c>
      <c r="D14" s="43" t="s">
        <v>569</v>
      </c>
      <c r="E14" s="43" t="s">
        <v>570</v>
      </c>
      <c r="F14" s="43" t="s">
        <v>564</v>
      </c>
      <c r="G14" s="43" t="s">
        <v>527</v>
      </c>
      <c r="H14" s="46" t="s">
        <v>554</v>
      </c>
      <c r="I14" s="73"/>
      <c r="J14" s="50">
        <v>2064900.31</v>
      </c>
      <c r="K14" s="50"/>
      <c r="L14" s="43"/>
      <c r="N14" s="20">
        <v>12647981.5</v>
      </c>
    </row>
    <row r="15" spans="1:14">
      <c r="A15" s="43">
        <v>45</v>
      </c>
      <c r="B15" s="72">
        <v>45876</v>
      </c>
      <c r="C15" s="72">
        <v>45877</v>
      </c>
      <c r="D15" s="43" t="s">
        <v>571</v>
      </c>
      <c r="E15" s="43" t="s">
        <v>572</v>
      </c>
      <c r="F15" s="43" t="s">
        <v>573</v>
      </c>
      <c r="G15" s="43" t="s">
        <v>537</v>
      </c>
      <c r="H15" s="46">
        <v>6</v>
      </c>
      <c r="I15" s="73">
        <v>219600</v>
      </c>
      <c r="J15" s="50">
        <v>1416420</v>
      </c>
      <c r="K15" s="50"/>
      <c r="L15" s="43"/>
      <c r="N15" s="20">
        <f>SUM(N13:N14)</f>
        <v>28842874.5</v>
      </c>
    </row>
    <row r="16" spans="1:14">
      <c r="A16" s="43">
        <v>46</v>
      </c>
      <c r="B16" s="72">
        <v>45876</v>
      </c>
      <c r="C16" s="72">
        <v>45883</v>
      </c>
      <c r="D16" s="43" t="s">
        <v>574</v>
      </c>
      <c r="E16" s="43" t="s">
        <v>575</v>
      </c>
      <c r="F16" s="43" t="s">
        <v>576</v>
      </c>
      <c r="G16" s="43" t="s">
        <v>462</v>
      </c>
      <c r="H16" s="46">
        <v>2</v>
      </c>
      <c r="I16" s="73">
        <v>182600</v>
      </c>
      <c r="J16" s="50">
        <v>392590</v>
      </c>
      <c r="K16" s="50"/>
      <c r="L16" s="43"/>
      <c r="N16">
        <v>28842874.5</v>
      </c>
    </row>
    <row r="17" spans="1:12">
      <c r="A17" s="43">
        <v>47</v>
      </c>
      <c r="B17" s="72">
        <v>45876</v>
      </c>
      <c r="C17" s="72">
        <v>45879</v>
      </c>
      <c r="D17" s="43" t="s">
        <v>577</v>
      </c>
      <c r="E17" s="43" t="s">
        <v>578</v>
      </c>
      <c r="F17" s="43" t="s">
        <v>579</v>
      </c>
      <c r="G17" s="43" t="s">
        <v>501</v>
      </c>
      <c r="H17" s="46">
        <v>8</v>
      </c>
      <c r="I17" s="73"/>
      <c r="J17" s="79">
        <v>13233250</v>
      </c>
      <c r="K17" s="79"/>
      <c r="L17" s="43"/>
    </row>
    <row r="18" spans="1:12">
      <c r="A18" s="43">
        <v>48</v>
      </c>
      <c r="B18" s="72">
        <v>45877</v>
      </c>
      <c r="C18" s="72">
        <v>45884</v>
      </c>
      <c r="D18" s="43" t="s">
        <v>580</v>
      </c>
      <c r="E18" s="43" t="s">
        <v>581</v>
      </c>
      <c r="F18" s="43" t="s">
        <v>582</v>
      </c>
      <c r="G18" s="43" t="s">
        <v>583</v>
      </c>
      <c r="H18" s="46">
        <v>3</v>
      </c>
      <c r="I18" s="73">
        <v>140000</v>
      </c>
      <c r="J18" s="73">
        <v>451500</v>
      </c>
      <c r="K18" s="73"/>
      <c r="L18" s="43"/>
    </row>
    <row r="19" spans="1:12">
      <c r="A19" s="43">
        <v>49</v>
      </c>
      <c r="B19" s="72">
        <v>45880</v>
      </c>
      <c r="C19" s="72">
        <v>45884</v>
      </c>
      <c r="D19" s="43" t="s">
        <v>584</v>
      </c>
      <c r="E19" s="43" t="s">
        <v>585</v>
      </c>
      <c r="F19" s="43" t="s">
        <v>586</v>
      </c>
      <c r="G19" s="43" t="s">
        <v>511</v>
      </c>
      <c r="H19" s="46">
        <v>16</v>
      </c>
      <c r="I19" s="73">
        <v>17000</v>
      </c>
      <c r="J19" s="50">
        <v>342400</v>
      </c>
      <c r="K19" s="50"/>
      <c r="L19" s="43"/>
    </row>
    <row r="20" spans="1:12">
      <c r="A20" s="43">
        <v>50</v>
      </c>
      <c r="B20" s="72">
        <v>45880</v>
      </c>
      <c r="C20" s="72">
        <v>45884</v>
      </c>
      <c r="D20" s="43" t="s">
        <v>587</v>
      </c>
      <c r="E20" s="43" t="s">
        <v>588</v>
      </c>
      <c r="F20" s="43" t="s">
        <v>589</v>
      </c>
      <c r="G20" s="43" t="s">
        <v>590</v>
      </c>
      <c r="H20" s="46">
        <v>1</v>
      </c>
      <c r="I20" s="73">
        <v>1350000</v>
      </c>
      <c r="J20" s="50">
        <v>1451250</v>
      </c>
      <c r="K20" s="50"/>
      <c r="L20" s="43"/>
    </row>
    <row r="21" spans="1:12">
      <c r="A21" s="43">
        <v>51</v>
      </c>
      <c r="B21" s="72">
        <v>45880</v>
      </c>
      <c r="C21" s="72">
        <v>45884</v>
      </c>
      <c r="D21" s="43" t="s">
        <v>591</v>
      </c>
      <c r="E21" s="43" t="s">
        <v>31</v>
      </c>
      <c r="F21" s="43" t="s">
        <v>592</v>
      </c>
      <c r="G21" s="43" t="s">
        <v>590</v>
      </c>
      <c r="H21" s="46">
        <v>3</v>
      </c>
      <c r="I21" s="73">
        <v>120000</v>
      </c>
      <c r="J21" s="50">
        <v>387000</v>
      </c>
      <c r="K21" s="50"/>
      <c r="L21" s="43"/>
    </row>
    <row r="22" spans="1:12">
      <c r="A22" s="43">
        <v>52</v>
      </c>
      <c r="B22" s="72">
        <v>45880</v>
      </c>
      <c r="C22" s="72">
        <v>45881</v>
      </c>
      <c r="D22" s="43" t="s">
        <v>593</v>
      </c>
      <c r="E22" s="43" t="s">
        <v>295</v>
      </c>
      <c r="F22" s="43" t="s">
        <v>594</v>
      </c>
      <c r="G22" s="43" t="s">
        <v>501</v>
      </c>
      <c r="H22" s="46">
        <v>2</v>
      </c>
      <c r="I22" s="73">
        <v>735000</v>
      </c>
      <c r="J22" s="50">
        <v>1580250</v>
      </c>
      <c r="K22" s="50"/>
      <c r="L22" s="43"/>
    </row>
    <row r="23" spans="1:12">
      <c r="A23" s="43">
        <v>53</v>
      </c>
      <c r="B23" s="72">
        <v>45881</v>
      </c>
      <c r="C23" s="72">
        <v>45884</v>
      </c>
      <c r="D23" s="43" t="s">
        <v>595</v>
      </c>
      <c r="E23" s="43" t="s">
        <v>94</v>
      </c>
      <c r="F23" s="43" t="s">
        <v>596</v>
      </c>
      <c r="G23" s="43" t="s">
        <v>597</v>
      </c>
      <c r="H23" s="46">
        <v>1000</v>
      </c>
      <c r="I23" s="73">
        <v>2700</v>
      </c>
      <c r="J23" s="50">
        <v>2700000</v>
      </c>
      <c r="K23" s="50"/>
      <c r="L23" s="43"/>
    </row>
    <row r="24" spans="1:12">
      <c r="A24" s="43">
        <v>54</v>
      </c>
      <c r="B24" s="72">
        <v>45881</v>
      </c>
      <c r="C24" s="72">
        <v>45884</v>
      </c>
      <c r="D24" s="43" t="s">
        <v>598</v>
      </c>
      <c r="E24" s="43" t="s">
        <v>94</v>
      </c>
      <c r="F24" s="43" t="s">
        <v>599</v>
      </c>
      <c r="G24" s="43" t="s">
        <v>600</v>
      </c>
      <c r="H24" s="46">
        <v>15000</v>
      </c>
      <c r="I24" s="73">
        <v>236.5</v>
      </c>
      <c r="J24" s="50">
        <f>I24*H24</f>
        <v>3547500</v>
      </c>
      <c r="K24" s="50"/>
      <c r="L24" s="43"/>
    </row>
    <row r="25" spans="1:12">
      <c r="A25" s="43">
        <v>55</v>
      </c>
      <c r="B25" s="72">
        <v>45881</v>
      </c>
      <c r="C25" s="72">
        <v>45884</v>
      </c>
      <c r="D25" s="43" t="s">
        <v>601</v>
      </c>
      <c r="E25" s="43" t="s">
        <v>94</v>
      </c>
      <c r="F25" s="43" t="s">
        <v>602</v>
      </c>
      <c r="G25" s="43" t="s">
        <v>603</v>
      </c>
      <c r="H25" s="46">
        <v>700</v>
      </c>
      <c r="I25" s="73"/>
      <c r="J25" s="50">
        <v>2732000</v>
      </c>
      <c r="K25" s="50"/>
      <c r="L25" s="43"/>
    </row>
    <row r="26" spans="1:12">
      <c r="A26" s="43">
        <v>56</v>
      </c>
      <c r="B26" s="72">
        <v>45881</v>
      </c>
      <c r="C26" s="75">
        <v>45889</v>
      </c>
      <c r="D26" s="43" t="s">
        <v>604</v>
      </c>
      <c r="E26" s="43" t="s">
        <v>94</v>
      </c>
      <c r="F26" s="43" t="s">
        <v>605</v>
      </c>
      <c r="G26" s="43" t="s">
        <v>606</v>
      </c>
      <c r="H26" s="46">
        <v>1310</v>
      </c>
      <c r="I26" s="73"/>
      <c r="J26" s="50">
        <v>2415768</v>
      </c>
      <c r="K26" s="50"/>
      <c r="L26" s="43"/>
    </row>
    <row r="27" spans="1:12">
      <c r="A27" s="43">
        <v>57</v>
      </c>
      <c r="B27" s="72">
        <v>45881</v>
      </c>
      <c r="C27" s="72">
        <v>45889</v>
      </c>
      <c r="D27" s="43" t="s">
        <v>607</v>
      </c>
      <c r="E27" s="43" t="s">
        <v>94</v>
      </c>
      <c r="F27" s="43" t="s">
        <v>608</v>
      </c>
      <c r="G27" s="43" t="s">
        <v>609</v>
      </c>
      <c r="H27" s="46">
        <v>155</v>
      </c>
      <c r="I27" s="73"/>
      <c r="J27" s="50">
        <v>7000000</v>
      </c>
      <c r="K27" s="50"/>
      <c r="L27" s="43"/>
    </row>
    <row r="28" spans="1:12">
      <c r="A28" s="43">
        <v>58</v>
      </c>
      <c r="B28" s="72">
        <v>45881</v>
      </c>
      <c r="C28" s="75">
        <v>45889</v>
      </c>
      <c r="D28" s="43" t="s">
        <v>610</v>
      </c>
      <c r="E28" s="43" t="s">
        <v>94</v>
      </c>
      <c r="F28" s="43" t="s">
        <v>611</v>
      </c>
      <c r="G28" s="43" t="s">
        <v>612</v>
      </c>
      <c r="H28" s="46">
        <v>270</v>
      </c>
      <c r="I28" s="73"/>
      <c r="J28" s="50">
        <v>2235000</v>
      </c>
      <c r="K28" s="50"/>
      <c r="L28" s="43"/>
    </row>
    <row r="29" spans="1:12">
      <c r="A29" s="43">
        <v>59</v>
      </c>
      <c r="B29" s="72">
        <v>45881</v>
      </c>
      <c r="C29" s="72">
        <v>45889</v>
      </c>
      <c r="D29" s="43" t="s">
        <v>613</v>
      </c>
      <c r="E29" s="43" t="s">
        <v>94</v>
      </c>
      <c r="F29" s="43" t="s">
        <v>602</v>
      </c>
      <c r="G29" s="43" t="s">
        <v>614</v>
      </c>
      <c r="H29" s="46">
        <v>120</v>
      </c>
      <c r="I29" s="73"/>
      <c r="J29" s="50">
        <v>1856300</v>
      </c>
      <c r="K29" s="50"/>
      <c r="L29" s="43"/>
    </row>
    <row r="30" spans="1:12">
      <c r="A30" s="43">
        <v>60</v>
      </c>
      <c r="B30" s="43"/>
      <c r="C30" s="43"/>
      <c r="D30" s="43" t="s">
        <v>615</v>
      </c>
      <c r="E30" s="43"/>
      <c r="F30" s="43"/>
      <c r="G30" s="43"/>
      <c r="H30" s="46"/>
      <c r="I30" s="73"/>
      <c r="J30" s="50"/>
      <c r="K30" s="50"/>
      <c r="L30" s="43"/>
    </row>
    <row r="31" spans="1:12">
      <c r="A31" s="43">
        <v>61</v>
      </c>
      <c r="B31" s="72">
        <v>45881</v>
      </c>
      <c r="C31" s="72">
        <v>45889</v>
      </c>
      <c r="D31" s="43" t="s">
        <v>616</v>
      </c>
      <c r="E31" s="43" t="s">
        <v>94</v>
      </c>
      <c r="F31" s="43" t="s">
        <v>617</v>
      </c>
      <c r="G31" s="43" t="s">
        <v>618</v>
      </c>
      <c r="H31" s="46">
        <v>1000</v>
      </c>
      <c r="I31" s="73">
        <v>3500</v>
      </c>
      <c r="J31" s="50">
        <v>3500000</v>
      </c>
      <c r="K31" s="50"/>
      <c r="L31" s="43"/>
    </row>
    <row r="32" spans="1:12">
      <c r="A32" s="43">
        <v>62</v>
      </c>
      <c r="B32" s="72">
        <v>45881</v>
      </c>
      <c r="C32" s="72">
        <v>45889</v>
      </c>
      <c r="D32" s="43" t="s">
        <v>619</v>
      </c>
      <c r="E32" s="43" t="s">
        <v>94</v>
      </c>
      <c r="F32" s="43" t="s">
        <v>620</v>
      </c>
      <c r="G32" s="43" t="s">
        <v>621</v>
      </c>
      <c r="H32" s="46">
        <v>1100</v>
      </c>
      <c r="I32" s="73"/>
      <c r="J32" s="50">
        <v>3030000</v>
      </c>
      <c r="K32" s="50"/>
      <c r="L32" s="43"/>
    </row>
    <row r="33" spans="1:12">
      <c r="A33" s="43">
        <v>63</v>
      </c>
      <c r="B33" s="72">
        <v>45881</v>
      </c>
      <c r="C33" s="72">
        <v>45889</v>
      </c>
      <c r="D33" s="43" t="s">
        <v>622</v>
      </c>
      <c r="E33" s="43" t="s">
        <v>94</v>
      </c>
      <c r="F33" s="43" t="s">
        <v>602</v>
      </c>
      <c r="G33" s="43" t="s">
        <v>623</v>
      </c>
      <c r="H33" s="46">
        <v>1700</v>
      </c>
      <c r="I33" s="73"/>
      <c r="J33" s="73">
        <v>3740000</v>
      </c>
      <c r="K33" s="73"/>
      <c r="L33" s="43"/>
    </row>
    <row r="34" spans="1:12">
      <c r="A34" s="43">
        <v>64</v>
      </c>
      <c r="B34" s="72">
        <v>45881</v>
      </c>
      <c r="C34" s="72">
        <v>45695</v>
      </c>
      <c r="D34" s="43" t="s">
        <v>624</v>
      </c>
      <c r="E34" s="43" t="s">
        <v>94</v>
      </c>
      <c r="F34" s="43" t="s">
        <v>321</v>
      </c>
      <c r="G34" s="43" t="s">
        <v>625</v>
      </c>
      <c r="H34" s="80">
        <v>1520</v>
      </c>
      <c r="I34" s="73"/>
      <c r="J34" s="50">
        <v>2814250</v>
      </c>
      <c r="K34" s="50"/>
      <c r="L34" s="43"/>
    </row>
    <row r="35" spans="1:12">
      <c r="A35" s="43">
        <v>65</v>
      </c>
      <c r="B35" s="72">
        <v>45881</v>
      </c>
      <c r="C35" s="72">
        <v>45889</v>
      </c>
      <c r="D35" s="43" t="s">
        <v>626</v>
      </c>
      <c r="E35" s="43" t="s">
        <v>94</v>
      </c>
      <c r="F35" s="43" t="s">
        <v>627</v>
      </c>
      <c r="G35" s="43" t="s">
        <v>133</v>
      </c>
      <c r="H35" s="46">
        <v>1500</v>
      </c>
      <c r="I35" s="73">
        <v>1700</v>
      </c>
      <c r="J35" s="50">
        <v>2550000</v>
      </c>
      <c r="K35" s="50"/>
      <c r="L35" s="43"/>
    </row>
    <row r="36" spans="1:12">
      <c r="A36" s="43">
        <v>66</v>
      </c>
      <c r="B36" s="72">
        <v>45881</v>
      </c>
      <c r="C36" s="72">
        <v>45884</v>
      </c>
      <c r="D36" s="43" t="s">
        <v>628</v>
      </c>
      <c r="E36" s="43" t="s">
        <v>629</v>
      </c>
      <c r="F36" s="43" t="s">
        <v>630</v>
      </c>
      <c r="G36" s="43" t="s">
        <v>631</v>
      </c>
      <c r="H36" s="46">
        <v>1</v>
      </c>
      <c r="I36" s="73">
        <v>290000</v>
      </c>
      <c r="J36" s="50">
        <v>311750</v>
      </c>
      <c r="K36" s="50"/>
      <c r="L36" s="43"/>
    </row>
    <row r="37" spans="1:12">
      <c r="A37" s="43">
        <v>67</v>
      </c>
      <c r="B37" s="72">
        <v>45882</v>
      </c>
      <c r="C37" s="72">
        <v>45884</v>
      </c>
      <c r="D37" s="43" t="s">
        <v>632</v>
      </c>
      <c r="E37" s="43" t="s">
        <v>94</v>
      </c>
      <c r="F37" s="43" t="s">
        <v>633</v>
      </c>
      <c r="G37" s="43" t="s">
        <v>634</v>
      </c>
      <c r="H37" s="46">
        <v>1000</v>
      </c>
      <c r="I37" s="73">
        <v>1500</v>
      </c>
      <c r="J37" s="50">
        <v>1500000</v>
      </c>
      <c r="K37" s="50"/>
      <c r="L37" s="43"/>
    </row>
    <row r="38" spans="1:12">
      <c r="A38" s="43">
        <v>68</v>
      </c>
      <c r="B38" s="43"/>
      <c r="C38" s="43"/>
      <c r="D38" s="43" t="s">
        <v>635</v>
      </c>
      <c r="E38" s="43"/>
      <c r="F38" s="43"/>
      <c r="G38" s="43"/>
      <c r="H38" s="46"/>
      <c r="I38" s="73"/>
      <c r="J38" s="50"/>
      <c r="K38" s="50"/>
      <c r="L38" s="43"/>
    </row>
    <row r="39" spans="1:12">
      <c r="A39" s="43">
        <v>69</v>
      </c>
      <c r="B39" s="72">
        <v>45882</v>
      </c>
      <c r="C39" s="72">
        <v>45889</v>
      </c>
      <c r="D39" s="43" t="s">
        <v>636</v>
      </c>
      <c r="E39" s="43" t="s">
        <v>637</v>
      </c>
      <c r="F39" s="43" t="s">
        <v>638</v>
      </c>
      <c r="G39" s="43" t="s">
        <v>468</v>
      </c>
      <c r="H39" s="46">
        <v>3</v>
      </c>
      <c r="I39" s="73">
        <v>175000</v>
      </c>
      <c r="J39" s="50">
        <v>564375</v>
      </c>
      <c r="K39" s="50"/>
      <c r="L39" s="43"/>
    </row>
    <row r="40" spans="1:12">
      <c r="A40" s="43">
        <v>70</v>
      </c>
      <c r="B40" s="72">
        <v>45882</v>
      </c>
      <c r="C40" s="72">
        <v>45889</v>
      </c>
      <c r="D40" s="43" t="s">
        <v>639</v>
      </c>
      <c r="E40" s="43" t="s">
        <v>640</v>
      </c>
      <c r="F40" s="43" t="s">
        <v>641</v>
      </c>
      <c r="G40" s="43" t="s">
        <v>462</v>
      </c>
      <c r="H40" s="46">
        <v>4</v>
      </c>
      <c r="I40" s="73">
        <v>165000</v>
      </c>
      <c r="J40" s="50">
        <v>709500</v>
      </c>
      <c r="K40" s="50"/>
      <c r="L40" s="43"/>
    </row>
    <row r="41" spans="1:12">
      <c r="A41" s="43">
        <v>71</v>
      </c>
      <c r="B41" s="72">
        <v>45882</v>
      </c>
      <c r="C41" s="72">
        <v>45889</v>
      </c>
      <c r="D41" s="43" t="s">
        <v>642</v>
      </c>
      <c r="E41" s="43" t="s">
        <v>643</v>
      </c>
      <c r="F41" s="43" t="s">
        <v>644</v>
      </c>
      <c r="G41" s="43" t="s">
        <v>645</v>
      </c>
      <c r="H41" s="46">
        <v>1</v>
      </c>
      <c r="I41" s="73">
        <v>215000</v>
      </c>
      <c r="J41" s="50">
        <v>231125</v>
      </c>
      <c r="K41" s="50"/>
      <c r="L41" s="43"/>
    </row>
    <row r="42" spans="1:12">
      <c r="A42" s="43">
        <v>72</v>
      </c>
      <c r="B42" s="72">
        <v>45882</v>
      </c>
      <c r="C42" s="72">
        <v>45889</v>
      </c>
      <c r="D42" s="43" t="s">
        <v>646</v>
      </c>
      <c r="E42" s="43" t="s">
        <v>647</v>
      </c>
      <c r="F42" s="43" t="s">
        <v>648</v>
      </c>
      <c r="G42" s="43" t="s">
        <v>478</v>
      </c>
      <c r="H42" s="46">
        <v>6</v>
      </c>
      <c r="I42" s="73">
        <v>430000</v>
      </c>
      <c r="J42" s="50">
        <v>2773500</v>
      </c>
      <c r="K42" s="50"/>
      <c r="L42" s="43"/>
    </row>
    <row r="43" spans="1:12">
      <c r="A43" s="43">
        <v>73</v>
      </c>
      <c r="B43" s="72">
        <v>45882</v>
      </c>
      <c r="C43" s="72">
        <v>45889</v>
      </c>
      <c r="D43" s="43" t="s">
        <v>649</v>
      </c>
      <c r="E43" s="43" t="s">
        <v>94</v>
      </c>
      <c r="F43" s="43" t="s">
        <v>602</v>
      </c>
      <c r="G43" s="43" t="s">
        <v>650</v>
      </c>
      <c r="H43" s="46">
        <v>100</v>
      </c>
      <c r="I43" s="73"/>
      <c r="J43" s="50">
        <v>810500</v>
      </c>
      <c r="K43" s="50"/>
      <c r="L43" s="43"/>
    </row>
    <row r="44" spans="1:12">
      <c r="A44" s="43">
        <v>74</v>
      </c>
      <c r="B44" s="72">
        <v>45882</v>
      </c>
      <c r="C44" s="72">
        <v>45884</v>
      </c>
      <c r="D44" s="43" t="s">
        <v>651</v>
      </c>
      <c r="E44" s="43" t="s">
        <v>652</v>
      </c>
      <c r="F44" s="43" t="s">
        <v>653</v>
      </c>
      <c r="G44" s="43" t="s">
        <v>645</v>
      </c>
      <c r="H44" s="46">
        <v>2</v>
      </c>
      <c r="I44" s="73">
        <v>224000</v>
      </c>
      <c r="J44" s="50">
        <v>482460</v>
      </c>
      <c r="K44" s="50"/>
      <c r="L44" s="43"/>
    </row>
    <row r="45" spans="1:12">
      <c r="A45" s="43">
        <v>75</v>
      </c>
      <c r="B45" s="72">
        <v>45882</v>
      </c>
      <c r="C45" s="72">
        <v>45889</v>
      </c>
      <c r="D45" s="43" t="s">
        <v>654</v>
      </c>
      <c r="E45" s="43" t="s">
        <v>94</v>
      </c>
      <c r="F45" s="43" t="s">
        <v>655</v>
      </c>
      <c r="G45" s="43" t="s">
        <v>656</v>
      </c>
      <c r="H45" s="46" t="s">
        <v>554</v>
      </c>
      <c r="I45" s="73" t="s">
        <v>657</v>
      </c>
      <c r="J45" s="50">
        <v>1751000</v>
      </c>
      <c r="K45" s="50"/>
      <c r="L45" s="43"/>
    </row>
    <row r="46" spans="1:12">
      <c r="A46" s="43">
        <v>76</v>
      </c>
      <c r="B46" s="72">
        <v>45883</v>
      </c>
      <c r="C46" s="72">
        <v>45891</v>
      </c>
      <c r="D46" s="43" t="s">
        <v>658</v>
      </c>
      <c r="E46" s="43" t="s">
        <v>94</v>
      </c>
      <c r="F46" s="43" t="s">
        <v>659</v>
      </c>
      <c r="G46" s="43" t="s">
        <v>660</v>
      </c>
      <c r="H46" s="46" t="s">
        <v>554</v>
      </c>
      <c r="I46" s="73"/>
      <c r="J46" s="50">
        <v>6011400</v>
      </c>
      <c r="K46" s="50"/>
      <c r="L46" s="43"/>
    </row>
    <row r="47" spans="1:12">
      <c r="A47" s="43">
        <v>77</v>
      </c>
      <c r="B47" s="72">
        <v>45883</v>
      </c>
      <c r="C47" s="72">
        <v>45889</v>
      </c>
      <c r="D47" s="43" t="s">
        <v>661</v>
      </c>
      <c r="E47" s="43" t="s">
        <v>94</v>
      </c>
      <c r="F47" s="43" t="s">
        <v>662</v>
      </c>
      <c r="G47" s="43" t="s">
        <v>663</v>
      </c>
      <c r="H47" s="46">
        <v>1500</v>
      </c>
      <c r="I47" s="73">
        <v>14500</v>
      </c>
      <c r="J47" s="50">
        <v>23381250</v>
      </c>
      <c r="K47" s="50"/>
      <c r="L47" s="43"/>
    </row>
    <row r="48" spans="1:12">
      <c r="A48" s="43">
        <v>78</v>
      </c>
      <c r="B48" s="43"/>
      <c r="C48" s="43"/>
      <c r="D48" s="43"/>
      <c r="E48" s="43"/>
      <c r="F48" s="43"/>
      <c r="G48" s="43"/>
      <c r="H48" s="46"/>
      <c r="I48" s="73"/>
      <c r="J48" s="50"/>
      <c r="K48" s="50"/>
      <c r="L48" s="43"/>
    </row>
    <row r="49" spans="1:12">
      <c r="A49" s="43">
        <v>79</v>
      </c>
      <c r="B49" s="72">
        <v>45895</v>
      </c>
      <c r="C49" s="72">
        <v>45937</v>
      </c>
      <c r="D49" s="43" t="s">
        <v>664</v>
      </c>
      <c r="E49" s="43" t="s">
        <v>31</v>
      </c>
      <c r="F49" s="43" t="s">
        <v>665</v>
      </c>
      <c r="G49" s="43" t="s">
        <v>666</v>
      </c>
      <c r="H49" s="46" t="s">
        <v>554</v>
      </c>
      <c r="I49" s="73"/>
      <c r="J49" s="50"/>
      <c r="K49" s="81">
        <v>113847</v>
      </c>
      <c r="L49" s="43"/>
    </row>
    <row r="50" spans="1:12">
      <c r="A50" s="43">
        <v>80</v>
      </c>
      <c r="B50" s="72">
        <v>45889</v>
      </c>
      <c r="C50" s="72">
        <v>45930</v>
      </c>
      <c r="D50" s="43" t="s">
        <v>667</v>
      </c>
      <c r="E50" s="43" t="s">
        <v>31</v>
      </c>
      <c r="F50" s="43" t="s">
        <v>668</v>
      </c>
      <c r="G50" s="43" t="s">
        <v>669</v>
      </c>
      <c r="H50" s="46" t="s">
        <v>554</v>
      </c>
      <c r="I50" s="73"/>
      <c r="J50" s="50">
        <v>262028002.43000001</v>
      </c>
      <c r="K50" s="50">
        <v>9200</v>
      </c>
      <c r="L50" s="43"/>
    </row>
    <row r="51" spans="1:12">
      <c r="A51" s="43">
        <v>81</v>
      </c>
      <c r="B51" s="72">
        <v>45889</v>
      </c>
      <c r="C51" s="72">
        <v>45894</v>
      </c>
      <c r="D51" s="43" t="s">
        <v>670</v>
      </c>
      <c r="E51" s="43" t="s">
        <v>671</v>
      </c>
      <c r="F51" s="43" t="s">
        <v>672</v>
      </c>
      <c r="G51" s="43" t="s">
        <v>590</v>
      </c>
      <c r="H51" s="46">
        <v>2</v>
      </c>
      <c r="I51" s="73">
        <v>120000</v>
      </c>
      <c r="J51" s="50">
        <v>258000</v>
      </c>
      <c r="K51" s="50"/>
      <c r="L51" s="43"/>
    </row>
    <row r="52" spans="1:12">
      <c r="A52" s="43">
        <v>82</v>
      </c>
      <c r="B52" s="72">
        <v>45889</v>
      </c>
      <c r="C52" s="72">
        <v>45896</v>
      </c>
      <c r="D52" s="43" t="s">
        <v>673</v>
      </c>
      <c r="E52" s="43" t="s">
        <v>674</v>
      </c>
      <c r="F52" s="43" t="s">
        <v>573</v>
      </c>
      <c r="G52" s="43" t="s">
        <v>537</v>
      </c>
      <c r="H52" s="46">
        <v>10</v>
      </c>
      <c r="I52" s="73">
        <v>266170</v>
      </c>
      <c r="J52" s="50">
        <v>2861327</v>
      </c>
      <c r="K52" s="50"/>
      <c r="L52" s="43"/>
    </row>
    <row r="53" spans="1:12">
      <c r="A53" s="43">
        <v>83</v>
      </c>
      <c r="B53" s="72">
        <v>45889</v>
      </c>
      <c r="C53" s="72">
        <v>45894</v>
      </c>
      <c r="D53" s="43" t="s">
        <v>675</v>
      </c>
      <c r="E53" s="43" t="s">
        <v>147</v>
      </c>
      <c r="F53" s="43" t="s">
        <v>676</v>
      </c>
      <c r="G53" s="43" t="s">
        <v>501</v>
      </c>
      <c r="H53" s="46">
        <v>1</v>
      </c>
      <c r="I53" s="73">
        <v>800000</v>
      </c>
      <c r="J53" s="50">
        <v>860000</v>
      </c>
      <c r="K53" s="50"/>
      <c r="L53" s="43"/>
    </row>
    <row r="54" spans="1:12">
      <c r="A54" s="43">
        <v>84</v>
      </c>
      <c r="B54" s="72">
        <v>45889</v>
      </c>
      <c r="C54" s="72">
        <v>45896</v>
      </c>
      <c r="D54" s="43" t="s">
        <v>677</v>
      </c>
      <c r="E54" s="43" t="s">
        <v>31</v>
      </c>
      <c r="F54" s="43" t="s">
        <v>573</v>
      </c>
      <c r="G54" s="43" t="s">
        <v>537</v>
      </c>
      <c r="H54" s="46">
        <v>6</v>
      </c>
      <c r="I54" s="73"/>
      <c r="J54" s="73">
        <v>1960370</v>
      </c>
      <c r="K54" s="50"/>
      <c r="L54" s="43"/>
    </row>
    <row r="55" spans="1:12">
      <c r="A55" s="43">
        <v>85</v>
      </c>
      <c r="B55" s="72">
        <v>45889</v>
      </c>
      <c r="C55" s="72">
        <v>45894</v>
      </c>
      <c r="D55" s="43" t="s">
        <v>678</v>
      </c>
      <c r="E55" s="43" t="s">
        <v>643</v>
      </c>
      <c r="F55" s="43" t="s">
        <v>573</v>
      </c>
      <c r="G55" s="43" t="s">
        <v>535</v>
      </c>
      <c r="H55" s="46">
        <v>2</v>
      </c>
      <c r="I55" s="73"/>
      <c r="J55" s="50">
        <v>1029762.5</v>
      </c>
      <c r="K55" s="50"/>
      <c r="L55" s="43"/>
    </row>
    <row r="56" spans="1:12">
      <c r="A56" s="43">
        <v>86</v>
      </c>
      <c r="B56" s="72">
        <v>45889</v>
      </c>
      <c r="C56" s="72">
        <v>45894</v>
      </c>
      <c r="D56" s="43" t="s">
        <v>679</v>
      </c>
      <c r="E56" s="43" t="s">
        <v>643</v>
      </c>
      <c r="F56" s="43" t="s">
        <v>573</v>
      </c>
      <c r="G56" s="43" t="s">
        <v>537</v>
      </c>
      <c r="H56" s="46">
        <v>2</v>
      </c>
      <c r="I56" s="73">
        <v>266170</v>
      </c>
      <c r="J56" s="50">
        <v>572265.5</v>
      </c>
      <c r="K56" s="50"/>
      <c r="L56" s="43"/>
    </row>
    <row r="57" spans="1:12">
      <c r="A57" s="43">
        <v>87</v>
      </c>
      <c r="B57" s="72">
        <v>45896</v>
      </c>
      <c r="C57" s="72">
        <v>45987</v>
      </c>
      <c r="D57" s="43" t="s">
        <v>680</v>
      </c>
      <c r="E57" s="43" t="s">
        <v>31</v>
      </c>
      <c r="F57" s="43" t="s">
        <v>681</v>
      </c>
      <c r="G57" s="43" t="s">
        <v>682</v>
      </c>
      <c r="H57" s="46" t="s">
        <v>554</v>
      </c>
      <c r="I57" s="73"/>
      <c r="J57" s="50"/>
      <c r="K57" s="82">
        <v>16312.5</v>
      </c>
      <c r="L57" s="43"/>
    </row>
    <row r="58" spans="1:12">
      <c r="A58" s="43">
        <v>88</v>
      </c>
      <c r="B58" s="72">
        <v>45896</v>
      </c>
      <c r="C58" s="72">
        <v>45898</v>
      </c>
      <c r="D58" s="43" t="s">
        <v>683</v>
      </c>
      <c r="E58" s="43" t="s">
        <v>684</v>
      </c>
      <c r="F58" s="43" t="s">
        <v>685</v>
      </c>
      <c r="G58" s="43" t="s">
        <v>537</v>
      </c>
      <c r="H58" s="46">
        <v>2</v>
      </c>
      <c r="I58" s="73">
        <v>346100</v>
      </c>
      <c r="J58" s="50">
        <v>744115</v>
      </c>
      <c r="K58" s="50"/>
      <c r="L58" s="43"/>
    </row>
    <row r="59" spans="1:12">
      <c r="A59" s="43">
        <v>89</v>
      </c>
      <c r="B59" s="72">
        <v>45896</v>
      </c>
      <c r="C59" s="72">
        <v>45903</v>
      </c>
      <c r="D59" s="43" t="s">
        <v>686</v>
      </c>
      <c r="E59" s="43" t="s">
        <v>687</v>
      </c>
      <c r="F59" s="43" t="s">
        <v>688</v>
      </c>
      <c r="G59" s="43" t="s">
        <v>544</v>
      </c>
      <c r="H59" s="46">
        <v>64</v>
      </c>
      <c r="I59" s="73">
        <v>48000</v>
      </c>
      <c r="J59" s="50">
        <v>3382400</v>
      </c>
      <c r="K59" s="50"/>
      <c r="L59" s="43"/>
    </row>
    <row r="60" spans="1:12">
      <c r="A60" s="43">
        <v>90</v>
      </c>
      <c r="B60" s="72">
        <v>45896</v>
      </c>
      <c r="C60" s="72">
        <v>45952</v>
      </c>
      <c r="D60" s="43" t="s">
        <v>689</v>
      </c>
      <c r="E60" s="43" t="s">
        <v>31</v>
      </c>
      <c r="F60" s="43" t="s">
        <v>690</v>
      </c>
      <c r="G60" s="43" t="s">
        <v>691</v>
      </c>
      <c r="H60" s="46" t="s">
        <v>554</v>
      </c>
      <c r="I60" s="73"/>
      <c r="J60" s="50">
        <v>9675000</v>
      </c>
      <c r="K60" s="50"/>
      <c r="L60" s="43"/>
    </row>
    <row r="61" spans="1:12">
      <c r="A61" s="43">
        <v>91</v>
      </c>
      <c r="B61" s="72">
        <v>45897</v>
      </c>
      <c r="C61" s="72">
        <v>45902</v>
      </c>
      <c r="D61" s="43" t="s">
        <v>692</v>
      </c>
      <c r="E61" s="43" t="s">
        <v>693</v>
      </c>
      <c r="F61" s="43" t="s">
        <v>694</v>
      </c>
      <c r="G61" s="43" t="s">
        <v>537</v>
      </c>
      <c r="H61" s="46">
        <v>8</v>
      </c>
      <c r="I61" s="73">
        <v>219600</v>
      </c>
      <c r="J61" s="50">
        <v>1888560</v>
      </c>
      <c r="K61" s="50"/>
      <c r="L61" s="43"/>
    </row>
    <row r="62" spans="1:12">
      <c r="A62" s="43">
        <v>92</v>
      </c>
      <c r="B62" s="72">
        <v>45897</v>
      </c>
      <c r="C62" s="72">
        <v>45902</v>
      </c>
      <c r="D62" s="43" t="s">
        <v>695</v>
      </c>
      <c r="E62" s="43" t="s">
        <v>696</v>
      </c>
      <c r="F62" s="43" t="s">
        <v>697</v>
      </c>
      <c r="G62" s="43" t="s">
        <v>400</v>
      </c>
      <c r="H62" s="46">
        <v>4</v>
      </c>
      <c r="I62" s="73">
        <v>45000</v>
      </c>
      <c r="J62" s="50">
        <v>193500</v>
      </c>
      <c r="K62" s="50"/>
      <c r="L62" s="43"/>
    </row>
    <row r="63" spans="1:12">
      <c r="A63" s="43">
        <v>93</v>
      </c>
      <c r="B63" s="72">
        <v>45897</v>
      </c>
      <c r="C63" s="72">
        <v>45902</v>
      </c>
      <c r="D63" s="43" t="s">
        <v>698</v>
      </c>
      <c r="E63" s="43" t="s">
        <v>637</v>
      </c>
      <c r="F63" s="43" t="s">
        <v>573</v>
      </c>
      <c r="G63" s="43" t="s">
        <v>537</v>
      </c>
      <c r="H63" s="43">
        <v>7</v>
      </c>
      <c r="I63" s="73"/>
      <c r="J63" s="50">
        <v>1709680</v>
      </c>
      <c r="K63" s="50"/>
      <c r="L63" s="43"/>
    </row>
    <row r="64" spans="1:12">
      <c r="A64" s="43">
        <v>94</v>
      </c>
      <c r="B64" s="72">
        <v>45897</v>
      </c>
      <c r="C64" s="72">
        <v>45902</v>
      </c>
      <c r="D64" s="43" t="s">
        <v>699</v>
      </c>
      <c r="E64" s="43" t="s">
        <v>700</v>
      </c>
      <c r="F64" s="43" t="s">
        <v>573</v>
      </c>
      <c r="G64" s="43" t="s">
        <v>537</v>
      </c>
      <c r="H64" s="46">
        <v>1</v>
      </c>
      <c r="I64" s="73">
        <v>346100</v>
      </c>
      <c r="J64" s="50">
        <v>372057.5</v>
      </c>
      <c r="K64" s="50"/>
      <c r="L64" s="43"/>
    </row>
    <row r="65" spans="1:12">
      <c r="A65" s="43">
        <v>95</v>
      </c>
      <c r="B65" s="72">
        <v>45897</v>
      </c>
      <c r="C65" s="72">
        <v>45910</v>
      </c>
      <c r="D65" s="43" t="s">
        <v>701</v>
      </c>
      <c r="E65" s="43" t="s">
        <v>700</v>
      </c>
      <c r="F65" s="43" t="s">
        <v>73</v>
      </c>
      <c r="G65" s="43" t="s">
        <v>535</v>
      </c>
      <c r="H65" s="46">
        <v>1</v>
      </c>
      <c r="I65" s="73">
        <v>1550000</v>
      </c>
      <c r="J65" s="50">
        <v>1666250</v>
      </c>
      <c r="K65" s="50"/>
      <c r="L65" s="43"/>
    </row>
    <row r="66" spans="1:12">
      <c r="A66" s="43">
        <v>96</v>
      </c>
      <c r="B66" s="72">
        <v>45897</v>
      </c>
      <c r="C66" s="72">
        <v>45902</v>
      </c>
      <c r="D66" s="43" t="s">
        <v>702</v>
      </c>
      <c r="E66" s="43" t="s">
        <v>700</v>
      </c>
      <c r="F66" s="43" t="s">
        <v>703</v>
      </c>
      <c r="G66" s="43" t="s">
        <v>468</v>
      </c>
      <c r="H66" s="46">
        <v>1</v>
      </c>
      <c r="I66" s="73">
        <v>320000</v>
      </c>
      <c r="J66" s="50">
        <v>344000</v>
      </c>
      <c r="K66" s="50"/>
      <c r="L66" s="43"/>
    </row>
    <row r="67" spans="1:12">
      <c r="A67" s="43">
        <v>97</v>
      </c>
      <c r="B67" s="72">
        <v>45897</v>
      </c>
      <c r="C67" s="72">
        <v>45953</v>
      </c>
      <c r="D67" s="43" t="s">
        <v>704</v>
      </c>
      <c r="E67" s="43" t="s">
        <v>287</v>
      </c>
      <c r="F67" s="43" t="s">
        <v>705</v>
      </c>
      <c r="G67" s="43" t="s">
        <v>465</v>
      </c>
      <c r="H67" s="46"/>
      <c r="I67" s="73"/>
      <c r="J67" s="50" t="s">
        <v>706</v>
      </c>
      <c r="K67" s="50"/>
      <c r="L67" s="43"/>
    </row>
    <row r="68" spans="1:12">
      <c r="A68" s="43">
        <v>98</v>
      </c>
      <c r="B68" s="72">
        <v>45897</v>
      </c>
      <c r="C68" s="72">
        <v>45902</v>
      </c>
      <c r="D68" s="43" t="s">
        <v>707</v>
      </c>
      <c r="E68" s="43" t="s">
        <v>708</v>
      </c>
      <c r="F68" s="43" t="s">
        <v>709</v>
      </c>
      <c r="G68" s="43" t="s">
        <v>590</v>
      </c>
      <c r="H68" s="46">
        <v>5</v>
      </c>
      <c r="I68" s="73">
        <v>1900000</v>
      </c>
      <c r="J68" s="50">
        <v>10212500</v>
      </c>
      <c r="K68" s="50"/>
      <c r="L68" s="43"/>
    </row>
    <row r="69" spans="1:12">
      <c r="A69" s="43">
        <v>99</v>
      </c>
      <c r="B69" s="72">
        <v>45897</v>
      </c>
      <c r="C69" s="72">
        <v>45905</v>
      </c>
      <c r="D69" s="43" t="s">
        <v>710</v>
      </c>
      <c r="E69" s="43" t="s">
        <v>711</v>
      </c>
      <c r="F69" s="43" t="s">
        <v>712</v>
      </c>
      <c r="G69" s="43" t="s">
        <v>511</v>
      </c>
      <c r="H69" s="46">
        <v>32</v>
      </c>
      <c r="I69" s="73">
        <v>115500</v>
      </c>
      <c r="J69" s="73">
        <v>4073200</v>
      </c>
      <c r="K69" s="50"/>
      <c r="L69" s="43"/>
    </row>
    <row r="70" spans="1:12">
      <c r="A70" s="43">
        <v>100</v>
      </c>
      <c r="B70" s="72">
        <v>45897</v>
      </c>
      <c r="C70" s="72">
        <v>45902</v>
      </c>
      <c r="D70" s="43" t="s">
        <v>713</v>
      </c>
      <c r="E70" s="43" t="s">
        <v>62</v>
      </c>
      <c r="F70" s="43" t="s">
        <v>714</v>
      </c>
      <c r="G70" s="43" t="s">
        <v>468</v>
      </c>
      <c r="H70" s="46">
        <v>1</v>
      </c>
      <c r="I70" s="73">
        <v>935000</v>
      </c>
      <c r="J70" s="50">
        <v>1005125</v>
      </c>
      <c r="K70" s="50"/>
      <c r="L70" s="43"/>
    </row>
    <row r="71" spans="1:12">
      <c r="A71" s="43">
        <v>101</v>
      </c>
      <c r="B71" s="72">
        <v>45897</v>
      </c>
      <c r="C71" s="72">
        <v>45905</v>
      </c>
      <c r="D71" s="43" t="s">
        <v>715</v>
      </c>
      <c r="E71" s="43" t="s">
        <v>716</v>
      </c>
      <c r="F71" s="43" t="s">
        <v>717</v>
      </c>
      <c r="G71" s="43" t="s">
        <v>718</v>
      </c>
      <c r="H71" s="46" t="s">
        <v>554</v>
      </c>
      <c r="I71" s="73"/>
      <c r="J71" s="50">
        <v>18507040</v>
      </c>
      <c r="K71" s="50"/>
      <c r="L71" s="43"/>
    </row>
    <row r="79" spans="1:12">
      <c r="J79" s="20">
        <v>7576147.3899999997</v>
      </c>
    </row>
    <row r="80" spans="1:12">
      <c r="J80" s="20">
        <v>1586162.5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C0B7-9FF8-4EC2-A17A-E56131F78A7F}">
  <dimension ref="A1:L47"/>
  <sheetViews>
    <sheetView topLeftCell="C12" workbookViewId="0">
      <selection activeCell="C17" sqref="A1:XFD1048576"/>
    </sheetView>
  </sheetViews>
  <sheetFormatPr defaultRowHeight="15"/>
  <cols>
    <col min="1" max="1" width="5.5703125" bestFit="1" customWidth="1"/>
    <col min="2" max="2" width="10" bestFit="1" customWidth="1"/>
    <col min="3" max="3" width="11.42578125" bestFit="1" customWidth="1"/>
    <col min="4" max="4" width="22.28515625" bestFit="1" customWidth="1"/>
    <col min="5" max="5" width="21" customWidth="1"/>
    <col min="6" max="6" width="60.5703125" bestFit="1" customWidth="1"/>
    <col min="7" max="7" width="25.28515625" customWidth="1"/>
    <col min="9" max="9" width="14.85546875" style="20" customWidth="1"/>
    <col min="10" max="10" width="13.85546875" style="20" customWidth="1"/>
    <col min="11" max="11" width="12.5703125" customWidth="1"/>
  </cols>
  <sheetData>
    <row r="1" spans="1:12" ht="63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48" t="s">
        <v>443</v>
      </c>
      <c r="J1" s="56" t="s">
        <v>9</v>
      </c>
      <c r="K1" s="56" t="s">
        <v>532</v>
      </c>
      <c r="L1" t="s">
        <v>444</v>
      </c>
    </row>
    <row r="2" spans="1:12">
      <c r="A2">
        <v>1</v>
      </c>
      <c r="B2" s="57">
        <v>45902</v>
      </c>
      <c r="C2" s="57">
        <v>45930</v>
      </c>
      <c r="D2" t="s">
        <v>719</v>
      </c>
      <c r="E2" t="s">
        <v>31</v>
      </c>
      <c r="F2" t="s">
        <v>720</v>
      </c>
      <c r="G2" t="s">
        <v>721</v>
      </c>
      <c r="H2" t="s">
        <v>554</v>
      </c>
      <c r="J2" s="20">
        <v>4201115</v>
      </c>
      <c r="K2" s="66"/>
    </row>
    <row r="3" spans="1:12">
      <c r="A3">
        <v>2</v>
      </c>
      <c r="B3" s="57">
        <v>45902</v>
      </c>
      <c r="C3" s="57">
        <v>45905</v>
      </c>
      <c r="D3" t="s">
        <v>722</v>
      </c>
      <c r="E3" t="s">
        <v>723</v>
      </c>
      <c r="F3" t="s">
        <v>724</v>
      </c>
      <c r="G3" t="s">
        <v>725</v>
      </c>
      <c r="H3">
        <v>1</v>
      </c>
      <c r="I3" s="20">
        <v>15525351.560000001</v>
      </c>
      <c r="J3" s="20">
        <v>16090351.560000001</v>
      </c>
    </row>
    <row r="4" spans="1:12">
      <c r="A4">
        <v>3</v>
      </c>
      <c r="B4" s="57">
        <v>45904</v>
      </c>
      <c r="C4" s="57">
        <v>45905</v>
      </c>
      <c r="D4" t="s">
        <v>726</v>
      </c>
      <c r="E4" t="s">
        <v>575</v>
      </c>
      <c r="F4" t="s">
        <v>514</v>
      </c>
      <c r="G4" t="s">
        <v>727</v>
      </c>
      <c r="H4">
        <v>1</v>
      </c>
      <c r="I4" s="20">
        <v>224990</v>
      </c>
    </row>
    <row r="5" spans="1:12">
      <c r="A5">
        <v>4</v>
      </c>
      <c r="B5" s="57">
        <v>45904</v>
      </c>
      <c r="C5" s="57">
        <v>45905</v>
      </c>
      <c r="D5" t="s">
        <v>728</v>
      </c>
      <c r="E5" t="s">
        <v>575</v>
      </c>
      <c r="F5" t="s">
        <v>514</v>
      </c>
      <c r="G5" t="s">
        <v>645</v>
      </c>
      <c r="H5">
        <v>1</v>
      </c>
      <c r="I5" s="20">
        <v>224000</v>
      </c>
      <c r="J5" s="20">
        <v>240500</v>
      </c>
    </row>
    <row r="6" spans="1:12">
      <c r="A6">
        <v>5</v>
      </c>
      <c r="B6" s="57">
        <v>45908</v>
      </c>
      <c r="C6" s="57">
        <v>45915</v>
      </c>
      <c r="D6" t="s">
        <v>729</v>
      </c>
      <c r="E6" t="s">
        <v>730</v>
      </c>
      <c r="F6" t="s">
        <v>731</v>
      </c>
      <c r="G6" t="s">
        <v>631</v>
      </c>
      <c r="H6">
        <v>50</v>
      </c>
      <c r="I6" s="20">
        <v>98000</v>
      </c>
      <c r="J6" s="20">
        <v>5767500</v>
      </c>
    </row>
    <row r="7" spans="1:12">
      <c r="A7">
        <v>6</v>
      </c>
      <c r="B7" s="57">
        <v>45908</v>
      </c>
      <c r="C7" s="57">
        <v>45915</v>
      </c>
      <c r="D7" t="s">
        <v>732</v>
      </c>
      <c r="E7" t="s">
        <v>733</v>
      </c>
      <c r="F7" t="s">
        <v>734</v>
      </c>
      <c r="G7" t="s">
        <v>511</v>
      </c>
      <c r="H7">
        <v>52</v>
      </c>
      <c r="I7" s="20">
        <v>17000</v>
      </c>
      <c r="J7" s="20">
        <v>1100300</v>
      </c>
    </row>
    <row r="8" spans="1:12">
      <c r="A8">
        <v>7</v>
      </c>
      <c r="B8" s="57">
        <v>45908</v>
      </c>
      <c r="C8" s="57">
        <v>45915</v>
      </c>
      <c r="D8" t="s">
        <v>735</v>
      </c>
      <c r="E8" t="s">
        <v>736</v>
      </c>
      <c r="F8" t="s">
        <v>734</v>
      </c>
      <c r="G8" t="s">
        <v>511</v>
      </c>
      <c r="H8">
        <v>80</v>
      </c>
      <c r="I8" s="20">
        <v>17000</v>
      </c>
      <c r="J8" s="20">
        <v>1662000</v>
      </c>
    </row>
    <row r="9" spans="1:12">
      <c r="A9">
        <v>8</v>
      </c>
      <c r="B9" s="57">
        <v>45908</v>
      </c>
      <c r="C9" s="57">
        <v>45915</v>
      </c>
      <c r="D9" t="s">
        <v>737</v>
      </c>
      <c r="E9" t="s">
        <v>738</v>
      </c>
      <c r="F9" t="s">
        <v>734</v>
      </c>
      <c r="G9" t="s">
        <v>511</v>
      </c>
      <c r="H9">
        <v>80</v>
      </c>
      <c r="I9" s="20">
        <v>17000</v>
      </c>
      <c r="J9" s="20">
        <v>1562000</v>
      </c>
    </row>
    <row r="10" spans="1:12">
      <c r="A10">
        <v>9</v>
      </c>
      <c r="B10" s="57">
        <v>45908</v>
      </c>
      <c r="C10" s="57">
        <v>45915</v>
      </c>
      <c r="D10" t="s">
        <v>739</v>
      </c>
      <c r="E10" t="s">
        <v>740</v>
      </c>
      <c r="F10" t="s">
        <v>734</v>
      </c>
      <c r="G10" t="s">
        <v>511</v>
      </c>
      <c r="H10">
        <v>96</v>
      </c>
      <c r="I10" s="20">
        <v>17000</v>
      </c>
      <c r="J10" s="20">
        <v>1904400</v>
      </c>
    </row>
    <row r="11" spans="1:12">
      <c r="A11">
        <v>10</v>
      </c>
      <c r="B11" s="57">
        <v>45908</v>
      </c>
      <c r="C11" s="57">
        <v>45915</v>
      </c>
      <c r="D11" t="s">
        <v>741</v>
      </c>
      <c r="E11" t="s">
        <v>742</v>
      </c>
      <c r="F11" t="s">
        <v>743</v>
      </c>
      <c r="G11" t="s">
        <v>544</v>
      </c>
      <c r="H11">
        <v>30</v>
      </c>
      <c r="I11" s="20">
        <v>22000</v>
      </c>
      <c r="J11" s="20">
        <v>769500</v>
      </c>
    </row>
    <row r="12" spans="1:12">
      <c r="A12">
        <v>11</v>
      </c>
      <c r="B12" s="57">
        <v>45908</v>
      </c>
      <c r="C12" s="57">
        <v>45915</v>
      </c>
      <c r="D12" t="s">
        <v>744</v>
      </c>
      <c r="E12" t="s">
        <v>745</v>
      </c>
      <c r="F12" t="s">
        <v>573</v>
      </c>
      <c r="G12" t="s">
        <v>537</v>
      </c>
      <c r="H12">
        <v>5</v>
      </c>
      <c r="J12" s="20">
        <v>1280475.5</v>
      </c>
    </row>
    <row r="13" spans="1:12">
      <c r="A13">
        <v>12</v>
      </c>
      <c r="B13" s="57">
        <v>45908</v>
      </c>
      <c r="C13" s="57">
        <v>45915</v>
      </c>
      <c r="D13" t="s">
        <v>746</v>
      </c>
      <c r="E13" t="s">
        <v>747</v>
      </c>
      <c r="F13" t="s">
        <v>748</v>
      </c>
      <c r="G13" t="s">
        <v>465</v>
      </c>
      <c r="H13">
        <v>1</v>
      </c>
      <c r="I13" s="20">
        <v>421250</v>
      </c>
      <c r="J13" s="20">
        <v>452843.75</v>
      </c>
    </row>
    <row r="14" spans="1:12">
      <c r="A14">
        <v>13</v>
      </c>
      <c r="B14" s="57">
        <v>45908</v>
      </c>
      <c r="C14" s="57">
        <v>45915</v>
      </c>
      <c r="D14" t="s">
        <v>749</v>
      </c>
      <c r="E14" t="s">
        <v>750</v>
      </c>
      <c r="F14" t="s">
        <v>484</v>
      </c>
      <c r="G14" t="s">
        <v>488</v>
      </c>
      <c r="H14">
        <v>1</v>
      </c>
      <c r="I14" s="20">
        <v>848996</v>
      </c>
      <c r="J14" s="20">
        <v>912670.7</v>
      </c>
    </row>
    <row r="15" spans="1:12">
      <c r="A15">
        <v>14</v>
      </c>
      <c r="B15" s="57">
        <v>45908</v>
      </c>
      <c r="C15" s="57">
        <v>45915</v>
      </c>
      <c r="D15" t="s">
        <v>751</v>
      </c>
      <c r="E15" t="s">
        <v>752</v>
      </c>
      <c r="F15" t="s">
        <v>694</v>
      </c>
      <c r="G15" t="s">
        <v>537</v>
      </c>
      <c r="H15">
        <v>8</v>
      </c>
      <c r="I15" s="20">
        <v>219600</v>
      </c>
      <c r="J15" s="20">
        <v>1888560</v>
      </c>
    </row>
    <row r="16" spans="1:12">
      <c r="A16">
        <v>15</v>
      </c>
      <c r="B16" s="57">
        <v>45909</v>
      </c>
      <c r="C16" s="57">
        <v>45915</v>
      </c>
      <c r="D16" t="s">
        <v>753</v>
      </c>
      <c r="E16" t="s">
        <v>94</v>
      </c>
      <c r="F16" t="s">
        <v>633</v>
      </c>
      <c r="G16" t="s">
        <v>634</v>
      </c>
      <c r="H16">
        <v>1000</v>
      </c>
      <c r="J16" s="20">
        <v>1500000</v>
      </c>
    </row>
    <row r="17" spans="1:10">
      <c r="A17">
        <v>16</v>
      </c>
      <c r="B17" s="57">
        <v>45909</v>
      </c>
      <c r="C17" s="57">
        <v>45911</v>
      </c>
      <c r="D17" t="s">
        <v>754</v>
      </c>
      <c r="E17" t="s">
        <v>755</v>
      </c>
      <c r="F17" s="63" t="s">
        <v>756</v>
      </c>
      <c r="G17" t="s">
        <v>452</v>
      </c>
      <c r="H17">
        <v>1</v>
      </c>
      <c r="I17" s="20">
        <v>1475500</v>
      </c>
      <c r="J17" s="20">
        <v>1586162.5</v>
      </c>
    </row>
    <row r="18" spans="1:10">
      <c r="A18">
        <v>17</v>
      </c>
      <c r="B18" s="57">
        <v>45910</v>
      </c>
      <c r="C18" s="57">
        <v>45917</v>
      </c>
      <c r="D18" t="s">
        <v>757</v>
      </c>
      <c r="E18" t="s">
        <v>94</v>
      </c>
      <c r="F18" t="s">
        <v>503</v>
      </c>
      <c r="G18" t="s">
        <v>504</v>
      </c>
      <c r="H18">
        <v>500</v>
      </c>
      <c r="J18" s="20">
        <v>2000000</v>
      </c>
    </row>
    <row r="19" spans="1:10">
      <c r="A19">
        <v>18</v>
      </c>
      <c r="B19" s="57">
        <v>45910</v>
      </c>
      <c r="C19" s="57">
        <v>45917</v>
      </c>
      <c r="D19" t="s">
        <v>758</v>
      </c>
      <c r="E19" t="s">
        <v>759</v>
      </c>
      <c r="F19" t="s">
        <v>517</v>
      </c>
      <c r="G19" t="s">
        <v>501</v>
      </c>
      <c r="H19">
        <v>4</v>
      </c>
      <c r="I19" s="20">
        <v>800000</v>
      </c>
      <c r="J19" s="20">
        <v>3440000</v>
      </c>
    </row>
    <row r="20" spans="1:10">
      <c r="A20">
        <v>19</v>
      </c>
      <c r="B20" s="57">
        <v>45915</v>
      </c>
      <c r="C20" t="s">
        <v>53</v>
      </c>
      <c r="D20" t="s">
        <v>760</v>
      </c>
      <c r="E20" t="s">
        <v>94</v>
      </c>
      <c r="F20" t="s">
        <v>761</v>
      </c>
      <c r="G20" t="s">
        <v>663</v>
      </c>
      <c r="H20" t="s">
        <v>554</v>
      </c>
      <c r="J20" s="20">
        <v>81560000</v>
      </c>
    </row>
    <row r="21" spans="1:10">
      <c r="A21">
        <v>20</v>
      </c>
      <c r="B21" s="57">
        <v>45916</v>
      </c>
      <c r="C21" s="57">
        <v>45923</v>
      </c>
      <c r="D21" t="s">
        <v>762</v>
      </c>
      <c r="E21" t="s">
        <v>763</v>
      </c>
      <c r="F21" t="s">
        <v>764</v>
      </c>
      <c r="G21" t="s">
        <v>544</v>
      </c>
      <c r="H21" s="21">
        <v>44</v>
      </c>
      <c r="J21" s="20">
        <v>1601900</v>
      </c>
    </row>
    <row r="22" spans="1:10">
      <c r="A22">
        <v>21</v>
      </c>
      <c r="B22" s="57">
        <v>45916</v>
      </c>
      <c r="C22" s="57">
        <v>45923</v>
      </c>
      <c r="D22" t="s">
        <v>765</v>
      </c>
      <c r="E22" t="s">
        <v>766</v>
      </c>
      <c r="F22" t="s">
        <v>767</v>
      </c>
      <c r="G22" s="61" t="s">
        <v>544</v>
      </c>
      <c r="H22" s="21">
        <v>40</v>
      </c>
      <c r="I22" s="20">
        <v>22000</v>
      </c>
      <c r="J22" s="20">
        <v>1046000</v>
      </c>
    </row>
    <row r="23" spans="1:10">
      <c r="A23">
        <v>22</v>
      </c>
      <c r="B23" s="57">
        <v>45916</v>
      </c>
      <c r="C23" s="57">
        <v>45972</v>
      </c>
      <c r="D23" t="s">
        <v>768</v>
      </c>
      <c r="E23" t="s">
        <v>769</v>
      </c>
      <c r="F23" t="s">
        <v>770</v>
      </c>
      <c r="G23" t="s">
        <v>771</v>
      </c>
      <c r="H23" t="s">
        <v>554</v>
      </c>
      <c r="J23" s="20">
        <v>5695941</v>
      </c>
    </row>
    <row r="24" spans="1:10">
      <c r="A24">
        <v>23</v>
      </c>
      <c r="B24" s="57">
        <v>45916</v>
      </c>
      <c r="C24" s="57">
        <v>45972</v>
      </c>
      <c r="D24" t="s">
        <v>772</v>
      </c>
      <c r="E24" t="s">
        <v>773</v>
      </c>
      <c r="F24" t="s">
        <v>770</v>
      </c>
      <c r="G24" t="s">
        <v>771</v>
      </c>
      <c r="H24" t="s">
        <v>554</v>
      </c>
      <c r="J24" s="20">
        <v>2847970.5</v>
      </c>
    </row>
    <row r="25" spans="1:10">
      <c r="A25">
        <v>24</v>
      </c>
      <c r="B25" s="57">
        <v>45916</v>
      </c>
      <c r="C25" s="57">
        <v>45923</v>
      </c>
      <c r="D25" t="s">
        <v>774</v>
      </c>
      <c r="E25" t="s">
        <v>775</v>
      </c>
      <c r="F25" t="s">
        <v>776</v>
      </c>
      <c r="G25" t="s">
        <v>777</v>
      </c>
      <c r="H25" t="s">
        <v>554</v>
      </c>
      <c r="J25" s="20">
        <v>618980</v>
      </c>
    </row>
    <row r="26" spans="1:10">
      <c r="A26">
        <v>25</v>
      </c>
      <c r="B26" s="57">
        <v>45922</v>
      </c>
      <c r="C26" t="s">
        <v>778</v>
      </c>
      <c r="D26" t="s">
        <v>779</v>
      </c>
      <c r="E26" t="s">
        <v>637</v>
      </c>
      <c r="F26" t="s">
        <v>780</v>
      </c>
      <c r="G26" t="s">
        <v>781</v>
      </c>
      <c r="H26">
        <v>3</v>
      </c>
      <c r="I26" s="20">
        <v>750000</v>
      </c>
      <c r="J26" s="20">
        <v>2418750</v>
      </c>
    </row>
    <row r="27" spans="1:10">
      <c r="A27">
        <v>26</v>
      </c>
      <c r="B27" s="57">
        <v>45922</v>
      </c>
      <c r="C27" t="s">
        <v>778</v>
      </c>
      <c r="D27" t="s">
        <v>782</v>
      </c>
      <c r="E27" t="s">
        <v>783</v>
      </c>
      <c r="F27" t="s">
        <v>573</v>
      </c>
      <c r="G27" t="s">
        <v>537</v>
      </c>
      <c r="H27">
        <v>7</v>
      </c>
      <c r="J27" s="20">
        <v>1738275</v>
      </c>
    </row>
    <row r="28" spans="1:10">
      <c r="A28">
        <v>27</v>
      </c>
      <c r="B28" s="57">
        <v>45923</v>
      </c>
      <c r="C28" s="57">
        <v>45930</v>
      </c>
      <c r="D28" t="s">
        <v>784</v>
      </c>
      <c r="E28" t="s">
        <v>785</v>
      </c>
      <c r="F28" t="s">
        <v>786</v>
      </c>
      <c r="G28" t="s">
        <v>787</v>
      </c>
      <c r="H28">
        <v>10</v>
      </c>
      <c r="I28" s="20">
        <v>350000</v>
      </c>
      <c r="J28" s="20">
        <v>3792500</v>
      </c>
    </row>
    <row r="29" spans="1:10">
      <c r="A29">
        <v>28</v>
      </c>
      <c r="D29" t="s">
        <v>788</v>
      </c>
    </row>
    <row r="30" spans="1:10">
      <c r="A30">
        <v>29</v>
      </c>
      <c r="B30" s="57">
        <v>45923</v>
      </c>
      <c r="C30" s="57">
        <v>45930</v>
      </c>
      <c r="D30" t="s">
        <v>789</v>
      </c>
      <c r="E30" t="s">
        <v>62</v>
      </c>
      <c r="F30" t="s">
        <v>790</v>
      </c>
      <c r="G30" t="s">
        <v>535</v>
      </c>
      <c r="H30">
        <v>2</v>
      </c>
      <c r="J30" s="20">
        <v>1029762.5</v>
      </c>
    </row>
    <row r="31" spans="1:10">
      <c r="A31">
        <v>30</v>
      </c>
      <c r="B31" s="57">
        <v>45923</v>
      </c>
      <c r="C31" s="57">
        <v>45930</v>
      </c>
      <c r="D31" t="s">
        <v>791</v>
      </c>
      <c r="E31" t="s">
        <v>62</v>
      </c>
      <c r="F31" t="s">
        <v>790</v>
      </c>
      <c r="G31" t="s">
        <v>537</v>
      </c>
      <c r="H31">
        <v>3</v>
      </c>
      <c r="J31" s="20">
        <v>944323</v>
      </c>
    </row>
    <row r="32" spans="1:10">
      <c r="A32">
        <v>31</v>
      </c>
      <c r="B32" s="57">
        <v>45923</v>
      </c>
      <c r="C32" s="57">
        <v>45930</v>
      </c>
      <c r="D32" t="s">
        <v>792</v>
      </c>
      <c r="E32" t="s">
        <v>793</v>
      </c>
      <c r="F32" t="s">
        <v>790</v>
      </c>
      <c r="G32" t="s">
        <v>535</v>
      </c>
      <c r="H32">
        <v>2</v>
      </c>
      <c r="J32" s="20">
        <v>1029762.5</v>
      </c>
    </row>
    <row r="33" spans="1:10">
      <c r="A33">
        <v>32</v>
      </c>
      <c r="B33" s="57">
        <v>45923</v>
      </c>
      <c r="C33" s="57">
        <v>45930</v>
      </c>
      <c r="D33" t="s">
        <v>794</v>
      </c>
      <c r="E33" t="s">
        <v>793</v>
      </c>
      <c r="F33" t="s">
        <v>790</v>
      </c>
      <c r="G33" t="s">
        <v>537</v>
      </c>
      <c r="H33">
        <v>3</v>
      </c>
      <c r="J33" s="20">
        <v>944323</v>
      </c>
    </row>
    <row r="34" spans="1:10" ht="30">
      <c r="A34">
        <v>33</v>
      </c>
      <c r="B34" s="57">
        <v>45925</v>
      </c>
      <c r="C34" s="57">
        <v>45981</v>
      </c>
      <c r="D34" t="s">
        <v>795</v>
      </c>
      <c r="E34" t="s">
        <v>31</v>
      </c>
      <c r="F34" s="68" t="s">
        <v>796</v>
      </c>
      <c r="G34" t="s">
        <v>797</v>
      </c>
      <c r="H34" t="s">
        <v>554</v>
      </c>
      <c r="J34" s="20">
        <v>18000000</v>
      </c>
    </row>
    <row r="35" spans="1:10" ht="30">
      <c r="A35">
        <v>34</v>
      </c>
      <c r="B35" s="57">
        <v>45929</v>
      </c>
      <c r="C35" s="57">
        <v>45933</v>
      </c>
      <c r="D35" t="s">
        <v>798</v>
      </c>
      <c r="E35" s="68" t="s">
        <v>799</v>
      </c>
      <c r="F35" t="s">
        <v>800</v>
      </c>
      <c r="G35" t="s">
        <v>468</v>
      </c>
      <c r="H35">
        <v>1</v>
      </c>
      <c r="I35" s="20">
        <v>1010000</v>
      </c>
      <c r="J35" s="20">
        <v>1085750</v>
      </c>
    </row>
    <row r="36" spans="1:10">
      <c r="A36">
        <v>35</v>
      </c>
      <c r="B36" s="57">
        <v>45929</v>
      </c>
      <c r="C36" s="57">
        <v>45941</v>
      </c>
      <c r="D36" t="s">
        <v>801</v>
      </c>
      <c r="E36" t="s">
        <v>802</v>
      </c>
      <c r="F36" t="s">
        <v>803</v>
      </c>
      <c r="G36" t="s">
        <v>511</v>
      </c>
      <c r="H36">
        <v>1</v>
      </c>
      <c r="I36" s="20">
        <v>4020000</v>
      </c>
      <c r="J36" s="20">
        <v>4471500</v>
      </c>
    </row>
    <row r="37" spans="1:10" ht="30">
      <c r="A37">
        <v>36</v>
      </c>
      <c r="B37" s="57">
        <v>45929</v>
      </c>
      <c r="C37" s="57">
        <v>45933</v>
      </c>
      <c r="D37" t="s">
        <v>804</v>
      </c>
      <c r="E37" t="s">
        <v>805</v>
      </c>
      <c r="F37" t="s">
        <v>806</v>
      </c>
      <c r="G37" s="68" t="s">
        <v>807</v>
      </c>
      <c r="H37">
        <v>1</v>
      </c>
      <c r="I37" s="20">
        <v>1154000</v>
      </c>
      <c r="J37" s="20">
        <v>1240550</v>
      </c>
    </row>
    <row r="38" spans="1:10" ht="48.75" customHeight="1">
      <c r="A38">
        <v>37</v>
      </c>
      <c r="B38" s="57">
        <v>45929</v>
      </c>
      <c r="C38" s="57">
        <v>45930</v>
      </c>
      <c r="D38" t="s">
        <v>808</v>
      </c>
      <c r="E38" s="68" t="s">
        <v>775</v>
      </c>
      <c r="F38" t="s">
        <v>694</v>
      </c>
      <c r="G38" s="68" t="s">
        <v>537</v>
      </c>
      <c r="H38">
        <v>7</v>
      </c>
      <c r="I38" s="20">
        <v>219600</v>
      </c>
      <c r="J38" s="20">
        <v>1652490</v>
      </c>
    </row>
    <row r="39" spans="1:10" ht="46.5" customHeight="1">
      <c r="A39">
        <v>38</v>
      </c>
      <c r="B39" s="57">
        <v>45929</v>
      </c>
      <c r="C39" s="57">
        <v>45933</v>
      </c>
      <c r="D39" t="s">
        <v>809</v>
      </c>
      <c r="E39" s="68" t="s">
        <v>775</v>
      </c>
      <c r="F39" t="s">
        <v>573</v>
      </c>
      <c r="G39" t="s">
        <v>787</v>
      </c>
      <c r="H39">
        <v>1</v>
      </c>
      <c r="I39" s="20">
        <v>1050000</v>
      </c>
      <c r="J39" s="20">
        <v>1228750</v>
      </c>
    </row>
    <row r="40" spans="1:10" ht="60">
      <c r="A40">
        <v>39</v>
      </c>
      <c r="B40" s="57">
        <v>45929</v>
      </c>
      <c r="C40" s="57">
        <v>45933</v>
      </c>
      <c r="D40" t="s">
        <v>810</v>
      </c>
      <c r="E40" s="68" t="s">
        <v>775</v>
      </c>
      <c r="F40" t="s">
        <v>811</v>
      </c>
      <c r="G40" t="s">
        <v>535</v>
      </c>
      <c r="H40">
        <v>1</v>
      </c>
      <c r="I40" s="20">
        <v>221280</v>
      </c>
      <c r="J40" s="20">
        <v>237876</v>
      </c>
    </row>
    <row r="41" spans="1:10" ht="30">
      <c r="A41">
        <v>40</v>
      </c>
      <c r="B41" s="57">
        <v>45930</v>
      </c>
      <c r="C41" s="57">
        <v>45936</v>
      </c>
      <c r="D41" t="s">
        <v>812</v>
      </c>
      <c r="E41" t="s">
        <v>723</v>
      </c>
      <c r="F41" t="s">
        <v>780</v>
      </c>
      <c r="G41" s="68" t="s">
        <v>807</v>
      </c>
      <c r="H41">
        <v>14</v>
      </c>
      <c r="I41" s="20">
        <v>740000</v>
      </c>
      <c r="J41" s="20">
        <v>11137000</v>
      </c>
    </row>
    <row r="42" spans="1:10">
      <c r="A42">
        <v>41</v>
      </c>
    </row>
    <row r="43" spans="1:10">
      <c r="A43">
        <v>42</v>
      </c>
    </row>
    <row r="44" spans="1:10">
      <c r="A44">
        <v>43</v>
      </c>
    </row>
    <row r="45" spans="1:10">
      <c r="A45">
        <v>44</v>
      </c>
    </row>
    <row r="46" spans="1:10">
      <c r="A46">
        <v>45</v>
      </c>
    </row>
    <row r="47" spans="1:10">
      <c r="A47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5D01-3995-4CBE-9404-92070B6B037D}">
  <dimension ref="A1:L33"/>
  <sheetViews>
    <sheetView topLeftCell="E1" workbookViewId="0">
      <selection activeCell="E1" sqref="A1:XFD1048576"/>
    </sheetView>
  </sheetViews>
  <sheetFormatPr defaultRowHeight="15"/>
  <cols>
    <col min="1" max="1" width="5.140625" customWidth="1"/>
    <col min="2" max="2" width="14.5703125" customWidth="1"/>
    <col min="3" max="3" width="15.7109375" customWidth="1"/>
    <col min="4" max="4" width="21.85546875" customWidth="1"/>
    <col min="5" max="5" width="17.85546875" customWidth="1"/>
    <col min="6" max="6" width="46" customWidth="1"/>
    <col min="7" max="7" width="25" customWidth="1"/>
    <col min="8" max="8" width="11.140625" customWidth="1"/>
    <col min="9" max="10" width="17.5703125" style="20" customWidth="1"/>
    <col min="11" max="12" width="25" customWidth="1"/>
  </cols>
  <sheetData>
    <row r="1" spans="1:12" ht="38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48" t="s">
        <v>443</v>
      </c>
      <c r="J1" s="56" t="s">
        <v>9</v>
      </c>
      <c r="K1" s="56" t="s">
        <v>532</v>
      </c>
      <c r="L1" t="s">
        <v>444</v>
      </c>
    </row>
    <row r="2" spans="1:12" ht="30">
      <c r="A2">
        <v>1</v>
      </c>
      <c r="B2" s="57">
        <v>45932</v>
      </c>
      <c r="C2" s="57">
        <v>45960</v>
      </c>
      <c r="D2" t="s">
        <v>813</v>
      </c>
      <c r="E2" t="s">
        <v>31</v>
      </c>
      <c r="F2" s="68" t="s">
        <v>814</v>
      </c>
      <c r="G2" t="s">
        <v>815</v>
      </c>
      <c r="H2" t="s">
        <v>69</v>
      </c>
      <c r="J2" s="20">
        <v>8863500</v>
      </c>
    </row>
    <row r="3" spans="1:12" ht="30">
      <c r="A3">
        <v>2</v>
      </c>
      <c r="B3" s="57">
        <v>45937</v>
      </c>
      <c r="C3" s="57">
        <v>45940</v>
      </c>
      <c r="D3" t="s">
        <v>816</v>
      </c>
      <c r="E3" t="s">
        <v>817</v>
      </c>
      <c r="F3" s="68" t="s">
        <v>818</v>
      </c>
      <c r="G3" s="68" t="s">
        <v>631</v>
      </c>
      <c r="H3" t="s">
        <v>69</v>
      </c>
      <c r="J3" s="20">
        <v>6446250</v>
      </c>
    </row>
    <row r="4" spans="1:12">
      <c r="A4">
        <v>3</v>
      </c>
      <c r="B4" s="57">
        <v>45937</v>
      </c>
      <c r="C4" s="57">
        <v>45945</v>
      </c>
      <c r="D4" t="s">
        <v>819</v>
      </c>
      <c r="E4" t="s">
        <v>820</v>
      </c>
      <c r="F4" t="s">
        <v>821</v>
      </c>
      <c r="G4" t="s">
        <v>535</v>
      </c>
      <c r="H4">
        <v>1</v>
      </c>
      <c r="I4" s="20">
        <v>494950</v>
      </c>
      <c r="J4" s="20">
        <v>532071.25</v>
      </c>
    </row>
    <row r="5" spans="1:12" ht="30">
      <c r="A5">
        <v>4</v>
      </c>
      <c r="B5" s="57">
        <v>45937</v>
      </c>
      <c r="C5" s="57">
        <v>45945</v>
      </c>
      <c r="D5" t="s">
        <v>822</v>
      </c>
      <c r="E5" t="s">
        <v>820</v>
      </c>
      <c r="F5" s="68" t="s">
        <v>823</v>
      </c>
      <c r="G5" s="68" t="s">
        <v>537</v>
      </c>
      <c r="H5">
        <v>2</v>
      </c>
      <c r="I5" s="20">
        <v>266170</v>
      </c>
      <c r="J5" s="20">
        <v>572265.5</v>
      </c>
    </row>
    <row r="6" spans="1:12">
      <c r="A6">
        <v>5</v>
      </c>
      <c r="B6" s="57">
        <v>45944</v>
      </c>
      <c r="C6" s="57">
        <v>45947</v>
      </c>
      <c r="D6" t="s">
        <v>824</v>
      </c>
      <c r="E6" t="s">
        <v>94</v>
      </c>
      <c r="F6" s="68" t="s">
        <v>506</v>
      </c>
      <c r="G6" t="s">
        <v>825</v>
      </c>
      <c r="H6" t="s">
        <v>69</v>
      </c>
      <c r="J6" s="20">
        <v>2825000</v>
      </c>
    </row>
    <row r="7" spans="1:12">
      <c r="A7">
        <v>6</v>
      </c>
      <c r="B7" s="57">
        <v>45944</v>
      </c>
      <c r="C7" s="57">
        <v>45954</v>
      </c>
      <c r="D7" t="s">
        <v>826</v>
      </c>
      <c r="E7" t="s">
        <v>94</v>
      </c>
      <c r="F7" s="68" t="s">
        <v>506</v>
      </c>
      <c r="G7" t="s">
        <v>634</v>
      </c>
      <c r="H7" t="s">
        <v>69</v>
      </c>
      <c r="J7" s="20">
        <v>11082000</v>
      </c>
    </row>
    <row r="8" spans="1:12">
      <c r="A8">
        <v>7</v>
      </c>
      <c r="B8" s="57">
        <v>45944</v>
      </c>
      <c r="C8" s="57">
        <v>45954</v>
      </c>
      <c r="D8" t="s">
        <v>827</v>
      </c>
      <c r="E8" t="s">
        <v>94</v>
      </c>
      <c r="F8" s="68" t="s">
        <v>506</v>
      </c>
      <c r="G8" t="s">
        <v>828</v>
      </c>
      <c r="H8" t="s">
        <v>69</v>
      </c>
      <c r="J8" s="20">
        <v>15284000</v>
      </c>
    </row>
    <row r="9" spans="1:12">
      <c r="A9">
        <v>8</v>
      </c>
      <c r="B9" s="57">
        <v>45944</v>
      </c>
      <c r="C9" s="57">
        <v>45954</v>
      </c>
      <c r="D9" t="s">
        <v>829</v>
      </c>
      <c r="E9" t="s">
        <v>94</v>
      </c>
      <c r="F9" s="68" t="s">
        <v>506</v>
      </c>
      <c r="G9" t="s">
        <v>504</v>
      </c>
      <c r="H9" t="s">
        <v>69</v>
      </c>
      <c r="J9" s="20">
        <v>4200000</v>
      </c>
    </row>
    <row r="10" spans="1:12">
      <c r="A10">
        <v>9</v>
      </c>
      <c r="B10" s="57">
        <v>45944</v>
      </c>
      <c r="C10" s="57">
        <v>45954</v>
      </c>
      <c r="D10" t="s">
        <v>830</v>
      </c>
      <c r="E10" t="s">
        <v>94</v>
      </c>
      <c r="F10" s="68" t="s">
        <v>506</v>
      </c>
      <c r="G10" t="s">
        <v>831</v>
      </c>
      <c r="H10">
        <v>700</v>
      </c>
      <c r="I10" s="20">
        <v>4000</v>
      </c>
      <c r="J10" s="20">
        <v>2800000</v>
      </c>
    </row>
    <row r="11" spans="1:12">
      <c r="A11">
        <v>10</v>
      </c>
      <c r="B11" s="57">
        <v>45944</v>
      </c>
      <c r="C11" s="57">
        <v>45954</v>
      </c>
      <c r="D11" t="s">
        <v>832</v>
      </c>
      <c r="E11" t="s">
        <v>94</v>
      </c>
      <c r="F11" s="68" t="s">
        <v>506</v>
      </c>
      <c r="G11" t="s">
        <v>507</v>
      </c>
      <c r="H11" t="s">
        <v>69</v>
      </c>
      <c r="J11" s="20">
        <v>886220</v>
      </c>
    </row>
    <row r="12" spans="1:12" ht="30">
      <c r="A12">
        <v>11</v>
      </c>
      <c r="B12" s="57">
        <v>45944</v>
      </c>
      <c r="C12" s="57">
        <v>45954</v>
      </c>
      <c r="D12" t="s">
        <v>833</v>
      </c>
      <c r="E12" t="s">
        <v>94</v>
      </c>
      <c r="F12" s="68" t="s">
        <v>506</v>
      </c>
      <c r="G12" s="68" t="s">
        <v>834</v>
      </c>
      <c r="H12" t="s">
        <v>69</v>
      </c>
      <c r="J12" s="20">
        <v>2085000</v>
      </c>
    </row>
    <row r="13" spans="1:12">
      <c r="A13">
        <v>12</v>
      </c>
      <c r="B13" s="57">
        <v>45944</v>
      </c>
      <c r="C13" s="57">
        <v>45954</v>
      </c>
      <c r="D13" t="s">
        <v>835</v>
      </c>
      <c r="E13" t="s">
        <v>94</v>
      </c>
      <c r="F13" s="68" t="s">
        <v>506</v>
      </c>
      <c r="G13" t="s">
        <v>836</v>
      </c>
      <c r="H13" t="s">
        <v>69</v>
      </c>
      <c r="J13" s="20">
        <v>3910000</v>
      </c>
    </row>
    <row r="14" spans="1:12">
      <c r="A14">
        <v>13</v>
      </c>
      <c r="D14" t="s">
        <v>837</v>
      </c>
    </row>
    <row r="15" spans="1:12" ht="30">
      <c r="A15">
        <v>14</v>
      </c>
      <c r="B15" s="57">
        <v>45945</v>
      </c>
      <c r="C15" s="57">
        <v>45966</v>
      </c>
      <c r="D15" t="s">
        <v>838</v>
      </c>
      <c r="E15" t="s">
        <v>31</v>
      </c>
      <c r="F15" s="68" t="s">
        <v>839</v>
      </c>
      <c r="G15" s="68" t="s">
        <v>840</v>
      </c>
      <c r="H15">
        <v>184</v>
      </c>
      <c r="I15" s="20">
        <v>200000</v>
      </c>
      <c r="J15" s="20">
        <v>39560000</v>
      </c>
    </row>
    <row r="16" spans="1:12">
      <c r="A16">
        <v>15</v>
      </c>
      <c r="B16" s="57">
        <v>45944</v>
      </c>
      <c r="C16" s="57">
        <v>45947</v>
      </c>
      <c r="D16" t="s">
        <v>841</v>
      </c>
      <c r="E16" t="s">
        <v>94</v>
      </c>
      <c r="F16" s="68" t="s">
        <v>842</v>
      </c>
      <c r="G16" t="s">
        <v>825</v>
      </c>
      <c r="H16">
        <v>200</v>
      </c>
      <c r="I16" s="20">
        <v>1850</v>
      </c>
      <c r="J16" s="20">
        <v>370000</v>
      </c>
    </row>
    <row r="17" spans="1:10" ht="30">
      <c r="A17">
        <v>16</v>
      </c>
      <c r="B17" s="57">
        <v>45944</v>
      </c>
      <c r="C17" s="57">
        <v>45947</v>
      </c>
      <c r="D17" t="s">
        <v>843</v>
      </c>
      <c r="E17" s="68" t="s">
        <v>446</v>
      </c>
      <c r="F17" t="s">
        <v>844</v>
      </c>
      <c r="G17" t="s">
        <v>645</v>
      </c>
      <c r="H17">
        <v>1</v>
      </c>
      <c r="I17" s="20">
        <v>220000</v>
      </c>
      <c r="J17" s="20">
        <v>236500</v>
      </c>
    </row>
    <row r="18" spans="1:10" ht="30">
      <c r="A18">
        <v>17</v>
      </c>
      <c r="B18" s="57">
        <v>45945</v>
      </c>
      <c r="C18" s="57">
        <v>45963</v>
      </c>
      <c r="D18" t="s">
        <v>845</v>
      </c>
      <c r="E18" s="68" t="s">
        <v>846</v>
      </c>
      <c r="F18" s="68" t="s">
        <v>847</v>
      </c>
      <c r="G18" t="s">
        <v>590</v>
      </c>
      <c r="H18">
        <v>2</v>
      </c>
      <c r="I18" s="20">
        <v>1350000</v>
      </c>
      <c r="J18" s="20">
        <v>2902500</v>
      </c>
    </row>
    <row r="19" spans="1:10" ht="30">
      <c r="A19">
        <v>18</v>
      </c>
      <c r="B19" s="57">
        <v>45951</v>
      </c>
      <c r="C19" t="s">
        <v>53</v>
      </c>
      <c r="D19" t="s">
        <v>829</v>
      </c>
      <c r="E19" t="s">
        <v>31</v>
      </c>
      <c r="F19" s="68" t="s">
        <v>848</v>
      </c>
      <c r="G19" t="s">
        <v>691</v>
      </c>
      <c r="H19" t="s">
        <v>69</v>
      </c>
      <c r="J19" s="20">
        <v>91375000</v>
      </c>
    </row>
    <row r="20" spans="1:10" ht="26.25">
      <c r="A20">
        <v>19</v>
      </c>
      <c r="B20" s="57">
        <v>45952</v>
      </c>
      <c r="C20" s="57">
        <v>45960</v>
      </c>
      <c r="D20" t="s">
        <v>830</v>
      </c>
      <c r="E20" t="s">
        <v>31</v>
      </c>
      <c r="F20" s="70" t="s">
        <v>849</v>
      </c>
      <c r="G20" s="69" t="s">
        <v>850</v>
      </c>
      <c r="H20" t="s">
        <v>69</v>
      </c>
      <c r="J20" s="20">
        <v>3225000</v>
      </c>
    </row>
    <row r="21" spans="1:10">
      <c r="A21">
        <v>20</v>
      </c>
      <c r="B21" s="57">
        <v>45952</v>
      </c>
      <c r="C21" s="57">
        <v>45958</v>
      </c>
      <c r="D21" t="s">
        <v>832</v>
      </c>
      <c r="E21" t="s">
        <v>851</v>
      </c>
      <c r="F21" s="68" t="s">
        <v>852</v>
      </c>
      <c r="G21" t="s">
        <v>474</v>
      </c>
      <c r="H21">
        <v>1</v>
      </c>
      <c r="I21" s="20">
        <v>257000</v>
      </c>
      <c r="J21" s="20">
        <v>276275</v>
      </c>
    </row>
    <row r="22" spans="1:10" ht="30">
      <c r="A22">
        <v>21</v>
      </c>
      <c r="B22" s="57">
        <v>45952</v>
      </c>
      <c r="C22" s="57">
        <v>45958</v>
      </c>
      <c r="D22" t="s">
        <v>833</v>
      </c>
      <c r="E22" s="68" t="s">
        <v>853</v>
      </c>
      <c r="F22" s="68" t="s">
        <v>854</v>
      </c>
      <c r="G22" t="s">
        <v>478</v>
      </c>
      <c r="H22">
        <v>5</v>
      </c>
      <c r="J22" s="20">
        <v>2590271.63</v>
      </c>
    </row>
    <row r="23" spans="1:10" ht="30">
      <c r="A23">
        <v>22</v>
      </c>
      <c r="B23" s="57">
        <v>45952</v>
      </c>
      <c r="C23" s="57">
        <v>45958</v>
      </c>
      <c r="D23" t="s">
        <v>835</v>
      </c>
      <c r="E23" s="68" t="s">
        <v>855</v>
      </c>
      <c r="F23" s="68" t="s">
        <v>514</v>
      </c>
      <c r="G23" t="s">
        <v>645</v>
      </c>
      <c r="H23">
        <v>1</v>
      </c>
      <c r="I23" s="20">
        <v>224400</v>
      </c>
      <c r="J23" s="20">
        <v>241230</v>
      </c>
    </row>
    <row r="24" spans="1:10" ht="30">
      <c r="A24">
        <v>23</v>
      </c>
      <c r="B24" s="57">
        <v>45952</v>
      </c>
      <c r="C24" s="57">
        <v>45958</v>
      </c>
      <c r="D24" t="s">
        <v>837</v>
      </c>
      <c r="E24" t="s">
        <v>856</v>
      </c>
      <c r="F24" s="68" t="s">
        <v>756</v>
      </c>
      <c r="G24" t="s">
        <v>452</v>
      </c>
      <c r="H24">
        <v>1</v>
      </c>
      <c r="I24" s="20">
        <v>1243400</v>
      </c>
      <c r="J24" s="20">
        <v>1336655</v>
      </c>
    </row>
    <row r="25" spans="1:10" ht="30">
      <c r="A25">
        <v>24</v>
      </c>
      <c r="B25" s="57">
        <v>45952</v>
      </c>
      <c r="C25" s="57">
        <v>45958</v>
      </c>
      <c r="D25" t="s">
        <v>838</v>
      </c>
      <c r="E25" s="68" t="s">
        <v>857</v>
      </c>
      <c r="F25" s="68" t="s">
        <v>858</v>
      </c>
      <c r="G25" t="s">
        <v>544</v>
      </c>
      <c r="H25">
        <v>40</v>
      </c>
      <c r="I25" s="20">
        <v>22000</v>
      </c>
      <c r="J25" s="20">
        <v>976000</v>
      </c>
    </row>
    <row r="26" spans="1:10" ht="45">
      <c r="A26">
        <v>25</v>
      </c>
      <c r="B26" s="57">
        <v>45954</v>
      </c>
      <c r="C26" s="57">
        <v>45958</v>
      </c>
      <c r="D26" t="s">
        <v>841</v>
      </c>
      <c r="E26" s="68" t="s">
        <v>859</v>
      </c>
      <c r="F26" s="71" t="s">
        <v>756</v>
      </c>
      <c r="G26" t="s">
        <v>452</v>
      </c>
      <c r="H26">
        <v>1</v>
      </c>
      <c r="I26" s="20">
        <v>1243400</v>
      </c>
      <c r="J26" s="20">
        <v>1336655</v>
      </c>
    </row>
    <row r="27" spans="1:10" ht="30">
      <c r="A27">
        <v>26</v>
      </c>
      <c r="B27" s="57">
        <v>45952</v>
      </c>
      <c r="C27" s="57">
        <v>45958</v>
      </c>
      <c r="D27" t="s">
        <v>843</v>
      </c>
      <c r="E27" s="68" t="s">
        <v>860</v>
      </c>
      <c r="F27" s="68" t="s">
        <v>780</v>
      </c>
      <c r="G27" s="68" t="s">
        <v>807</v>
      </c>
      <c r="H27">
        <v>1</v>
      </c>
      <c r="I27" s="20">
        <v>740000</v>
      </c>
      <c r="J27" s="20">
        <v>795500</v>
      </c>
    </row>
    <row r="28" spans="1:10" ht="30">
      <c r="A28">
        <v>27</v>
      </c>
      <c r="B28" s="57">
        <v>45953</v>
      </c>
      <c r="C28" s="57">
        <v>45958</v>
      </c>
      <c r="D28" t="s">
        <v>845</v>
      </c>
      <c r="E28" s="68" t="s">
        <v>861</v>
      </c>
      <c r="F28" s="68" t="s">
        <v>854</v>
      </c>
      <c r="G28" s="68" t="s">
        <v>862</v>
      </c>
      <c r="H28">
        <v>3</v>
      </c>
      <c r="J28" s="20">
        <v>954250</v>
      </c>
    </row>
    <row r="29" spans="1:10">
      <c r="A29">
        <v>28</v>
      </c>
      <c r="B29" s="57">
        <v>45953</v>
      </c>
      <c r="C29" s="57">
        <v>45994</v>
      </c>
      <c r="D29" t="s">
        <v>863</v>
      </c>
      <c r="E29" t="s">
        <v>31</v>
      </c>
      <c r="F29" s="68" t="s">
        <v>864</v>
      </c>
      <c r="G29" t="s">
        <v>865</v>
      </c>
      <c r="H29" t="s">
        <v>69</v>
      </c>
      <c r="J29" s="20">
        <v>16157250</v>
      </c>
    </row>
    <row r="30" spans="1:10" ht="45">
      <c r="A30">
        <v>29</v>
      </c>
      <c r="B30" s="57">
        <v>45953</v>
      </c>
      <c r="C30" s="57">
        <v>45957</v>
      </c>
      <c r="D30" t="s">
        <v>866</v>
      </c>
      <c r="E30" s="68" t="s">
        <v>867</v>
      </c>
      <c r="F30" s="68" t="s">
        <v>868</v>
      </c>
      <c r="G30" t="s">
        <v>511</v>
      </c>
      <c r="H30" t="s">
        <v>69</v>
      </c>
      <c r="J30" s="20">
        <v>12223417.359999999</v>
      </c>
    </row>
    <row r="31" spans="1:10" ht="30">
      <c r="A31">
        <v>30</v>
      </c>
      <c r="B31" s="57">
        <v>45959</v>
      </c>
      <c r="C31" s="57">
        <v>45961</v>
      </c>
      <c r="D31" t="s">
        <v>869</v>
      </c>
      <c r="E31" s="68" t="s">
        <v>759</v>
      </c>
      <c r="F31" t="s">
        <v>870</v>
      </c>
      <c r="G31" t="s">
        <v>535</v>
      </c>
      <c r="H31">
        <v>2</v>
      </c>
      <c r="I31" s="20">
        <v>280000</v>
      </c>
      <c r="J31" s="20">
        <v>602000</v>
      </c>
    </row>
    <row r="32" spans="1:10" ht="30">
      <c r="A32">
        <v>31</v>
      </c>
      <c r="B32" s="57">
        <v>45959</v>
      </c>
      <c r="C32" s="57">
        <v>45961</v>
      </c>
      <c r="D32" t="s">
        <v>871</v>
      </c>
      <c r="E32" s="68" t="s">
        <v>872</v>
      </c>
      <c r="F32" s="68" t="s">
        <v>873</v>
      </c>
      <c r="G32" s="59" t="s">
        <v>874</v>
      </c>
      <c r="H32">
        <v>1</v>
      </c>
      <c r="I32" s="20">
        <v>550894.74</v>
      </c>
      <c r="J32" s="20">
        <v>592211.85</v>
      </c>
    </row>
    <row r="33" spans="1:10" ht="30">
      <c r="A33">
        <v>32</v>
      </c>
      <c r="B33" s="57">
        <v>45960</v>
      </c>
      <c r="C33" s="57">
        <v>45964</v>
      </c>
      <c r="D33" t="s">
        <v>875</v>
      </c>
      <c r="E33" s="68" t="s">
        <v>853</v>
      </c>
      <c r="F33" t="s">
        <v>844</v>
      </c>
      <c r="G33" t="s">
        <v>876</v>
      </c>
      <c r="H33">
        <v>4</v>
      </c>
      <c r="I33" s="20">
        <v>135800</v>
      </c>
      <c r="J33" s="20">
        <v>583940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2782-FD62-416B-90F9-7A9585575E3B}">
  <dimension ref="A1:L43"/>
  <sheetViews>
    <sheetView topLeftCell="B1" workbookViewId="0">
      <selection activeCell="B1" sqref="A1:XFD1048576"/>
    </sheetView>
  </sheetViews>
  <sheetFormatPr defaultRowHeight="15"/>
  <cols>
    <col min="1" max="1" width="5.28515625" customWidth="1"/>
    <col min="2" max="2" width="11.42578125" bestFit="1" customWidth="1"/>
    <col min="3" max="3" width="19.140625" bestFit="1" customWidth="1"/>
    <col min="4" max="4" width="21.5703125" bestFit="1" customWidth="1"/>
    <col min="5" max="5" width="27.28515625" bestFit="1" customWidth="1"/>
    <col min="6" max="6" width="36.5703125" bestFit="1" customWidth="1"/>
    <col min="7" max="7" width="24.7109375" bestFit="1" customWidth="1"/>
    <col min="9" max="9" width="14.7109375" style="20" bestFit="1" customWidth="1"/>
    <col min="10" max="10" width="15.85546875" style="20" bestFit="1" customWidth="1"/>
  </cols>
  <sheetData>
    <row r="1" spans="1:12" ht="76.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48" t="s">
        <v>443</v>
      </c>
      <c r="J1" s="56" t="s">
        <v>9</v>
      </c>
      <c r="K1" s="56" t="s">
        <v>532</v>
      </c>
      <c r="L1" t="s">
        <v>444</v>
      </c>
    </row>
    <row r="2" spans="1:12" ht="30">
      <c r="A2">
        <v>1</v>
      </c>
      <c r="B2" s="57">
        <v>45966</v>
      </c>
      <c r="C2" s="57">
        <v>45968</v>
      </c>
      <c r="D2" t="s">
        <v>877</v>
      </c>
      <c r="E2" t="s">
        <v>878</v>
      </c>
      <c r="F2" s="68" t="s">
        <v>879</v>
      </c>
      <c r="G2" t="s">
        <v>501</v>
      </c>
      <c r="H2">
        <v>2</v>
      </c>
      <c r="J2" s="20" t="s">
        <v>880</v>
      </c>
    </row>
    <row r="3" spans="1:12">
      <c r="A3">
        <v>2</v>
      </c>
      <c r="B3" s="57">
        <v>45966</v>
      </c>
      <c r="C3" s="57">
        <v>45968</v>
      </c>
      <c r="D3" t="s">
        <v>881</v>
      </c>
      <c r="E3" t="s">
        <v>94</v>
      </c>
      <c r="F3" t="s">
        <v>602</v>
      </c>
      <c r="G3" t="s">
        <v>882</v>
      </c>
      <c r="H3">
        <v>350</v>
      </c>
      <c r="J3" s="20">
        <v>1720000</v>
      </c>
    </row>
    <row r="4" spans="1:12">
      <c r="A4">
        <v>3</v>
      </c>
      <c r="B4" s="57">
        <v>45972</v>
      </c>
      <c r="D4" t="s">
        <v>883</v>
      </c>
      <c r="E4" t="s">
        <v>31</v>
      </c>
      <c r="F4" t="s">
        <v>884</v>
      </c>
      <c r="G4" t="s">
        <v>885</v>
      </c>
      <c r="H4" t="s">
        <v>69</v>
      </c>
      <c r="J4" s="20">
        <v>39506250</v>
      </c>
    </row>
    <row r="5" spans="1:12">
      <c r="A5">
        <v>4</v>
      </c>
      <c r="B5" s="57">
        <v>45971</v>
      </c>
      <c r="C5" s="57">
        <v>45978</v>
      </c>
      <c r="D5" t="s">
        <v>886</v>
      </c>
      <c r="E5" t="s">
        <v>887</v>
      </c>
      <c r="F5" t="s">
        <v>888</v>
      </c>
      <c r="G5" t="s">
        <v>468</v>
      </c>
      <c r="H5">
        <v>5</v>
      </c>
      <c r="I5" s="20">
        <v>175000</v>
      </c>
      <c r="J5" s="20">
        <v>940625</v>
      </c>
    </row>
    <row r="6" spans="1:12">
      <c r="A6">
        <v>5</v>
      </c>
      <c r="B6" s="57">
        <v>45971</v>
      </c>
      <c r="C6" s="57">
        <v>45978</v>
      </c>
      <c r="D6" t="s">
        <v>889</v>
      </c>
      <c r="E6" t="s">
        <v>890</v>
      </c>
      <c r="F6" t="s">
        <v>576</v>
      </c>
      <c r="G6" t="s">
        <v>462</v>
      </c>
      <c r="H6">
        <v>4</v>
      </c>
      <c r="I6" s="20">
        <v>182600</v>
      </c>
      <c r="J6" s="20">
        <v>785180</v>
      </c>
    </row>
    <row r="7" spans="1:12">
      <c r="A7">
        <v>6</v>
      </c>
      <c r="B7" s="57">
        <v>45971</v>
      </c>
      <c r="C7" s="57">
        <v>45978</v>
      </c>
      <c r="D7" t="s">
        <v>891</v>
      </c>
      <c r="E7" t="s">
        <v>892</v>
      </c>
      <c r="F7" t="s">
        <v>484</v>
      </c>
      <c r="G7" t="s">
        <v>488</v>
      </c>
      <c r="H7">
        <v>1</v>
      </c>
      <c r="I7" s="20">
        <v>848996</v>
      </c>
      <c r="J7" s="20">
        <v>912670.7</v>
      </c>
    </row>
    <row r="8" spans="1:12">
      <c r="A8">
        <v>7</v>
      </c>
      <c r="B8" s="57">
        <v>45971</v>
      </c>
      <c r="C8" s="57">
        <v>45978</v>
      </c>
      <c r="D8" t="s">
        <v>893</v>
      </c>
      <c r="E8" t="s">
        <v>894</v>
      </c>
      <c r="F8" t="s">
        <v>895</v>
      </c>
      <c r="G8" t="s">
        <v>896</v>
      </c>
      <c r="H8">
        <v>1</v>
      </c>
      <c r="I8" s="20">
        <v>45000</v>
      </c>
      <c r="J8" s="20">
        <v>48375</v>
      </c>
    </row>
    <row r="9" spans="1:12">
      <c r="A9">
        <v>8</v>
      </c>
      <c r="B9" s="57">
        <v>45971</v>
      </c>
      <c r="C9" s="57">
        <v>45978</v>
      </c>
      <c r="D9" t="s">
        <v>897</v>
      </c>
      <c r="E9" t="s">
        <v>898</v>
      </c>
      <c r="F9" t="s">
        <v>899</v>
      </c>
      <c r="G9" t="s">
        <v>465</v>
      </c>
      <c r="H9">
        <v>3</v>
      </c>
      <c r="I9" s="20">
        <v>467250</v>
      </c>
      <c r="J9" s="20">
        <v>1506881.25</v>
      </c>
    </row>
    <row r="10" spans="1:12">
      <c r="A10">
        <v>9</v>
      </c>
      <c r="B10" s="57">
        <v>45971</v>
      </c>
      <c r="C10" s="57">
        <v>45978</v>
      </c>
      <c r="D10" t="s">
        <v>900</v>
      </c>
      <c r="E10" t="s">
        <v>901</v>
      </c>
      <c r="F10" t="s">
        <v>902</v>
      </c>
      <c r="G10" t="s">
        <v>537</v>
      </c>
      <c r="H10">
        <v>1</v>
      </c>
      <c r="I10" s="20">
        <v>346100</v>
      </c>
      <c r="J10" s="20">
        <v>372057.5</v>
      </c>
    </row>
    <row r="11" spans="1:12">
      <c r="A11">
        <v>10</v>
      </c>
      <c r="B11" s="57">
        <v>45971</v>
      </c>
      <c r="C11" s="57">
        <v>45978</v>
      </c>
      <c r="D11" t="s">
        <v>900</v>
      </c>
      <c r="E11" t="s">
        <v>903</v>
      </c>
      <c r="F11" t="s">
        <v>573</v>
      </c>
      <c r="G11" t="s">
        <v>537</v>
      </c>
      <c r="H11">
        <v>7</v>
      </c>
      <c r="J11" s="20">
        <v>1788477.5</v>
      </c>
    </row>
    <row r="12" spans="1:12">
      <c r="A12">
        <v>11</v>
      </c>
      <c r="B12" s="57">
        <v>45971</v>
      </c>
      <c r="C12" s="57">
        <v>45978</v>
      </c>
      <c r="D12" t="s">
        <v>904</v>
      </c>
      <c r="E12" t="s">
        <v>905</v>
      </c>
      <c r="F12" t="s">
        <v>573</v>
      </c>
      <c r="G12" t="s">
        <v>537</v>
      </c>
      <c r="H12">
        <v>13</v>
      </c>
      <c r="J12" s="20">
        <v>3505274</v>
      </c>
    </row>
    <row r="13" spans="1:12">
      <c r="A13">
        <v>12</v>
      </c>
      <c r="B13" s="57">
        <v>45971</v>
      </c>
      <c r="C13" s="57">
        <v>45978</v>
      </c>
      <c r="D13" t="s">
        <v>906</v>
      </c>
      <c r="E13" t="s">
        <v>907</v>
      </c>
      <c r="F13" t="s">
        <v>573</v>
      </c>
      <c r="G13" t="s">
        <v>537</v>
      </c>
      <c r="H13">
        <v>13</v>
      </c>
      <c r="J13" s="20">
        <v>3340885</v>
      </c>
    </row>
    <row r="14" spans="1:12">
      <c r="A14">
        <v>13</v>
      </c>
      <c r="B14" s="57">
        <v>45971</v>
      </c>
      <c r="C14" s="57">
        <v>45978</v>
      </c>
      <c r="D14" t="s">
        <v>908</v>
      </c>
      <c r="E14" t="s">
        <v>909</v>
      </c>
      <c r="F14" t="s">
        <v>902</v>
      </c>
      <c r="G14" t="s">
        <v>537</v>
      </c>
      <c r="H14">
        <v>1</v>
      </c>
      <c r="I14" s="20">
        <v>346100</v>
      </c>
      <c r="J14" s="20">
        <v>372057.5</v>
      </c>
    </row>
    <row r="15" spans="1:12">
      <c r="A15">
        <v>14</v>
      </c>
      <c r="B15" s="57">
        <v>45972</v>
      </c>
      <c r="C15" s="57">
        <v>45975</v>
      </c>
      <c r="D15" t="s">
        <v>910</v>
      </c>
      <c r="E15" t="s">
        <v>62</v>
      </c>
      <c r="F15" t="s">
        <v>911</v>
      </c>
      <c r="G15" t="s">
        <v>912</v>
      </c>
      <c r="H15">
        <v>1</v>
      </c>
      <c r="I15" s="20">
        <v>2000000</v>
      </c>
      <c r="J15" s="20">
        <v>2150000</v>
      </c>
    </row>
    <row r="16" spans="1:12">
      <c r="A16">
        <v>15</v>
      </c>
      <c r="B16" s="57">
        <v>45973</v>
      </c>
      <c r="C16" s="57">
        <v>45975</v>
      </c>
      <c r="D16" t="s">
        <v>913</v>
      </c>
      <c r="E16" t="s">
        <v>31</v>
      </c>
      <c r="F16" t="s">
        <v>914</v>
      </c>
      <c r="G16" t="s">
        <v>915</v>
      </c>
      <c r="H16">
        <v>100</v>
      </c>
      <c r="I16" s="20">
        <v>290000</v>
      </c>
      <c r="J16" s="20">
        <v>31175000</v>
      </c>
    </row>
    <row r="17" spans="1:10">
      <c r="A17">
        <v>16</v>
      </c>
      <c r="B17" s="57">
        <v>45979</v>
      </c>
      <c r="C17" s="57">
        <v>46002</v>
      </c>
      <c r="D17" t="s">
        <v>916</v>
      </c>
      <c r="E17" t="s">
        <v>917</v>
      </c>
      <c r="F17" t="s">
        <v>770</v>
      </c>
      <c r="G17" t="s">
        <v>771</v>
      </c>
      <c r="H17" t="s">
        <v>69</v>
      </c>
      <c r="J17" s="20">
        <v>2847970.5</v>
      </c>
    </row>
    <row r="18" spans="1:10">
      <c r="A18">
        <v>17</v>
      </c>
      <c r="B18" s="57">
        <v>45979</v>
      </c>
      <c r="C18" s="57">
        <v>46002</v>
      </c>
      <c r="D18" t="s">
        <v>918</v>
      </c>
      <c r="E18" t="s">
        <v>919</v>
      </c>
      <c r="F18" t="s">
        <v>770</v>
      </c>
      <c r="G18" t="s">
        <v>771</v>
      </c>
      <c r="H18" t="s">
        <v>69</v>
      </c>
      <c r="J18" s="20">
        <v>2847970.5</v>
      </c>
    </row>
    <row r="19" spans="1:10">
      <c r="A19">
        <v>18</v>
      </c>
      <c r="B19" s="57">
        <v>45980</v>
      </c>
      <c r="C19" s="57">
        <v>45982</v>
      </c>
      <c r="D19" t="s">
        <v>920</v>
      </c>
      <c r="E19" t="s">
        <v>921</v>
      </c>
      <c r="F19" t="s">
        <v>922</v>
      </c>
      <c r="G19" t="s">
        <v>807</v>
      </c>
      <c r="H19">
        <v>3</v>
      </c>
      <c r="J19" s="20">
        <v>2369536</v>
      </c>
    </row>
    <row r="20" spans="1:10">
      <c r="A20">
        <v>19</v>
      </c>
      <c r="B20" s="57">
        <v>45981</v>
      </c>
      <c r="D20" t="s">
        <v>923</v>
      </c>
      <c r="E20" t="s">
        <v>31</v>
      </c>
      <c r="F20" t="s">
        <v>924</v>
      </c>
      <c r="G20" t="s">
        <v>925</v>
      </c>
      <c r="H20">
        <v>20</v>
      </c>
      <c r="I20" s="20">
        <v>29900000</v>
      </c>
      <c r="J20" s="20">
        <v>642850000</v>
      </c>
    </row>
    <row r="21" spans="1:10">
      <c r="A21">
        <v>20</v>
      </c>
      <c r="B21" s="57">
        <v>45985</v>
      </c>
      <c r="C21" s="57">
        <v>45987</v>
      </c>
      <c r="D21" t="s">
        <v>926</v>
      </c>
      <c r="E21" t="s">
        <v>927</v>
      </c>
      <c r="F21" t="s">
        <v>928</v>
      </c>
      <c r="G21" t="s">
        <v>535</v>
      </c>
      <c r="H21">
        <v>1</v>
      </c>
      <c r="I21" s="20">
        <v>140000</v>
      </c>
      <c r="J21" s="20">
        <v>150500</v>
      </c>
    </row>
    <row r="22" spans="1:10">
      <c r="A22">
        <v>21</v>
      </c>
      <c r="B22" s="57">
        <v>45985</v>
      </c>
      <c r="C22" s="57">
        <v>45992</v>
      </c>
      <c r="D22" t="s">
        <v>929</v>
      </c>
      <c r="E22" t="s">
        <v>930</v>
      </c>
      <c r="F22" t="s">
        <v>573</v>
      </c>
      <c r="G22" t="s">
        <v>537</v>
      </c>
      <c r="H22">
        <v>6</v>
      </c>
      <c r="J22" s="20">
        <v>1888646</v>
      </c>
    </row>
    <row r="23" spans="1:10">
      <c r="A23">
        <v>22</v>
      </c>
      <c r="B23" s="57">
        <v>45986</v>
      </c>
      <c r="C23" s="57">
        <v>45889</v>
      </c>
      <c r="D23" t="s">
        <v>931</v>
      </c>
      <c r="E23" t="s">
        <v>94</v>
      </c>
      <c r="F23" t="s">
        <v>932</v>
      </c>
      <c r="G23" t="s">
        <v>606</v>
      </c>
      <c r="H23">
        <v>20</v>
      </c>
      <c r="I23" s="20">
        <v>40516.800000000003</v>
      </c>
      <c r="J23" s="20">
        <v>810336</v>
      </c>
    </row>
    <row r="24" spans="1:10">
      <c r="A24">
        <v>23</v>
      </c>
      <c r="B24" s="57">
        <v>45987</v>
      </c>
      <c r="C24" s="57">
        <v>45989</v>
      </c>
      <c r="D24" t="s">
        <v>933</v>
      </c>
      <c r="E24" t="s">
        <v>94</v>
      </c>
      <c r="F24" t="s">
        <v>934</v>
      </c>
      <c r="G24" t="s">
        <v>935</v>
      </c>
      <c r="H24" t="s">
        <v>554</v>
      </c>
      <c r="J24" s="20">
        <v>21672000</v>
      </c>
    </row>
    <row r="25" spans="1:10">
      <c r="A25">
        <v>24</v>
      </c>
      <c r="B25" s="57">
        <v>45987</v>
      </c>
      <c r="C25" s="57">
        <v>45989</v>
      </c>
      <c r="D25" t="s">
        <v>936</v>
      </c>
      <c r="E25" t="s">
        <v>94</v>
      </c>
      <c r="F25" t="s">
        <v>937</v>
      </c>
      <c r="G25" t="s">
        <v>660</v>
      </c>
      <c r="H25">
        <v>100</v>
      </c>
      <c r="I25" s="20">
        <v>48000</v>
      </c>
      <c r="J25" s="20" t="s">
        <v>938</v>
      </c>
    </row>
    <row r="26" spans="1:10">
      <c r="A26">
        <v>25</v>
      </c>
      <c r="B26" s="57">
        <v>45987</v>
      </c>
      <c r="C26" s="57">
        <v>45989</v>
      </c>
      <c r="D26" t="s">
        <v>939</v>
      </c>
      <c r="E26" t="s">
        <v>94</v>
      </c>
      <c r="F26" t="s">
        <v>854</v>
      </c>
      <c r="G26" t="s">
        <v>862</v>
      </c>
      <c r="H26" t="s">
        <v>554</v>
      </c>
      <c r="J26" s="20">
        <v>664585</v>
      </c>
    </row>
    <row r="27" spans="1:10">
      <c r="A27">
        <v>26</v>
      </c>
      <c r="B27" s="57">
        <v>45987</v>
      </c>
      <c r="C27" s="57">
        <v>45989</v>
      </c>
      <c r="D27" t="s">
        <v>940</v>
      </c>
      <c r="E27" t="s">
        <v>941</v>
      </c>
      <c r="F27" t="s">
        <v>942</v>
      </c>
      <c r="G27" t="s">
        <v>807</v>
      </c>
      <c r="H27">
        <v>1</v>
      </c>
      <c r="I27" s="20">
        <v>754800</v>
      </c>
      <c r="J27" s="20">
        <v>811410</v>
      </c>
    </row>
    <row r="28" spans="1:10">
      <c r="A28">
        <v>27</v>
      </c>
      <c r="B28" s="57">
        <v>45988</v>
      </c>
      <c r="C28" s="57">
        <v>45990</v>
      </c>
      <c r="D28" t="s">
        <v>943</v>
      </c>
      <c r="E28" t="s">
        <v>94</v>
      </c>
      <c r="F28" t="s">
        <v>633</v>
      </c>
      <c r="G28" t="s">
        <v>634</v>
      </c>
      <c r="H28">
        <v>300</v>
      </c>
      <c r="I28" s="20">
        <v>1500</v>
      </c>
      <c r="J28" s="20">
        <v>450000</v>
      </c>
    </row>
    <row r="29" spans="1:10">
      <c r="A29">
        <v>28</v>
      </c>
      <c r="B29" s="57">
        <v>45988</v>
      </c>
      <c r="C29" s="57">
        <v>45742</v>
      </c>
      <c r="D29" t="s">
        <v>944</v>
      </c>
      <c r="E29" t="s">
        <v>94</v>
      </c>
      <c r="F29" t="s">
        <v>945</v>
      </c>
      <c r="G29" t="s">
        <v>828</v>
      </c>
      <c r="H29">
        <v>300</v>
      </c>
      <c r="I29" s="20">
        <v>2950</v>
      </c>
      <c r="J29" s="20">
        <v>885000</v>
      </c>
    </row>
    <row r="30" spans="1:10">
      <c r="A30">
        <v>29</v>
      </c>
      <c r="B30" s="57">
        <v>45989</v>
      </c>
      <c r="C30" s="57">
        <v>46019</v>
      </c>
      <c r="D30" t="s">
        <v>946</v>
      </c>
      <c r="E30" t="s">
        <v>31</v>
      </c>
      <c r="F30" t="s">
        <v>947</v>
      </c>
      <c r="G30" t="s">
        <v>948</v>
      </c>
      <c r="H30">
        <v>30</v>
      </c>
      <c r="I30" s="20">
        <v>420000</v>
      </c>
      <c r="J30" s="20">
        <v>13545000</v>
      </c>
    </row>
    <row r="31" spans="1:10">
      <c r="A31">
        <v>30</v>
      </c>
      <c r="B31" s="57">
        <v>45989</v>
      </c>
      <c r="C31" s="57">
        <v>45992</v>
      </c>
      <c r="D31" t="s">
        <v>949</v>
      </c>
      <c r="E31" t="s">
        <v>950</v>
      </c>
      <c r="F31" t="s">
        <v>951</v>
      </c>
      <c r="G31" t="s">
        <v>952</v>
      </c>
      <c r="H31">
        <v>1</v>
      </c>
      <c r="I31" s="20">
        <v>836550</v>
      </c>
      <c r="J31" s="20">
        <v>899291.25</v>
      </c>
    </row>
    <row r="32" spans="1:10">
      <c r="A32">
        <v>31</v>
      </c>
      <c r="B32" s="57">
        <v>45989</v>
      </c>
      <c r="C32" s="57">
        <v>46000</v>
      </c>
      <c r="D32" t="s">
        <v>953</v>
      </c>
      <c r="E32" t="s">
        <v>954</v>
      </c>
      <c r="F32" t="s">
        <v>573</v>
      </c>
      <c r="G32" t="s">
        <v>537</v>
      </c>
      <c r="H32">
        <v>75</v>
      </c>
      <c r="J32" s="20">
        <v>18518487.5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1148-4D3B-4057-BD32-9ACF75A08365}">
  <dimension ref="A1:M82"/>
  <sheetViews>
    <sheetView topLeftCell="C1" workbookViewId="0">
      <selection activeCell="C1" sqref="A1:XFD1048576"/>
    </sheetView>
  </sheetViews>
  <sheetFormatPr defaultRowHeight="15"/>
  <cols>
    <col min="1" max="1" width="5.5703125" bestFit="1" customWidth="1"/>
    <col min="2" max="2" width="10.140625" bestFit="1" customWidth="1"/>
    <col min="3" max="4" width="22.28515625" bestFit="1" customWidth="1"/>
    <col min="5" max="5" width="24.85546875" bestFit="1" customWidth="1"/>
    <col min="6" max="6" width="55.7109375" bestFit="1" customWidth="1"/>
    <col min="7" max="7" width="23.5703125" bestFit="1" customWidth="1"/>
    <col min="9" max="9" width="18.140625" style="20" customWidth="1"/>
    <col min="10" max="10" width="15.140625" customWidth="1"/>
    <col min="11" max="11" width="14.85546875" customWidth="1"/>
    <col min="12" max="12" width="14.140625" customWidth="1"/>
    <col min="13" max="13" width="14" bestFit="1" customWidth="1"/>
    <col min="14" max="14" width="14" customWidth="1"/>
  </cols>
  <sheetData>
    <row r="1" spans="1:13" ht="54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4" t="s">
        <v>139</v>
      </c>
      <c r="I1" s="48" t="s">
        <v>443</v>
      </c>
      <c r="J1" s="56" t="s">
        <v>9</v>
      </c>
      <c r="K1" s="56" t="s">
        <v>532</v>
      </c>
      <c r="L1" s="56" t="s">
        <v>532</v>
      </c>
      <c r="M1" t="s">
        <v>444</v>
      </c>
    </row>
    <row r="2" spans="1:13">
      <c r="A2">
        <v>1</v>
      </c>
      <c r="B2" s="57">
        <v>46007</v>
      </c>
      <c r="C2" s="57">
        <v>46014</v>
      </c>
      <c r="D2" t="s">
        <v>955</v>
      </c>
      <c r="E2" t="s">
        <v>956</v>
      </c>
      <c r="F2" t="s">
        <v>957</v>
      </c>
      <c r="G2" t="s">
        <v>958</v>
      </c>
      <c r="H2">
        <v>1</v>
      </c>
      <c r="I2" s="20">
        <v>1440000</v>
      </c>
      <c r="J2" s="83">
        <v>1269413.75</v>
      </c>
    </row>
    <row r="3" spans="1:13">
      <c r="A3">
        <v>2</v>
      </c>
      <c r="B3" s="57">
        <v>45993</v>
      </c>
      <c r="C3" s="57">
        <v>45996</v>
      </c>
      <c r="D3" t="s">
        <v>959</v>
      </c>
      <c r="E3" t="s">
        <v>94</v>
      </c>
      <c r="F3" t="s">
        <v>599</v>
      </c>
      <c r="G3" t="s">
        <v>600</v>
      </c>
      <c r="H3">
        <v>2000</v>
      </c>
      <c r="I3" s="20">
        <v>250</v>
      </c>
      <c r="J3" s="83">
        <v>500000</v>
      </c>
    </row>
    <row r="4" spans="1:13">
      <c r="A4">
        <v>3</v>
      </c>
      <c r="B4" s="57">
        <v>45993</v>
      </c>
      <c r="C4" s="57">
        <v>45996</v>
      </c>
      <c r="D4" t="s">
        <v>960</v>
      </c>
      <c r="E4" t="s">
        <v>94</v>
      </c>
      <c r="F4" t="s">
        <v>961</v>
      </c>
      <c r="G4" t="s">
        <v>962</v>
      </c>
      <c r="H4">
        <v>150</v>
      </c>
      <c r="I4" s="20">
        <v>5800</v>
      </c>
      <c r="J4" s="83">
        <v>870000</v>
      </c>
    </row>
    <row r="5" spans="1:13">
      <c r="A5">
        <v>4</v>
      </c>
      <c r="B5" s="57">
        <v>45993</v>
      </c>
      <c r="C5" s="57">
        <v>46000</v>
      </c>
      <c r="D5" t="s">
        <v>963</v>
      </c>
      <c r="E5" t="s">
        <v>964</v>
      </c>
      <c r="F5" t="s">
        <v>821</v>
      </c>
      <c r="G5" t="s">
        <v>535</v>
      </c>
      <c r="H5">
        <v>1</v>
      </c>
      <c r="I5" s="20">
        <v>494950</v>
      </c>
      <c r="J5" s="83">
        <v>532071.25</v>
      </c>
    </row>
    <row r="6" spans="1:13">
      <c r="A6">
        <v>5</v>
      </c>
      <c r="B6" s="57">
        <v>45993</v>
      </c>
      <c r="C6" s="57">
        <v>46000</v>
      </c>
      <c r="D6" t="s">
        <v>965</v>
      </c>
      <c r="E6" t="s">
        <v>966</v>
      </c>
      <c r="F6" t="s">
        <v>967</v>
      </c>
      <c r="G6" t="s">
        <v>968</v>
      </c>
      <c r="H6">
        <v>19</v>
      </c>
      <c r="I6" s="20">
        <v>250000</v>
      </c>
      <c r="J6" s="83">
        <v>5106250</v>
      </c>
    </row>
    <row r="7" spans="1:13">
      <c r="A7">
        <v>6</v>
      </c>
      <c r="B7" s="57">
        <v>45999</v>
      </c>
      <c r="C7" s="57">
        <v>46006</v>
      </c>
      <c r="D7" t="s">
        <v>969</v>
      </c>
      <c r="E7" t="s">
        <v>793</v>
      </c>
      <c r="F7" t="s">
        <v>970</v>
      </c>
      <c r="G7" t="s">
        <v>971</v>
      </c>
      <c r="H7">
        <v>1</v>
      </c>
      <c r="I7" s="20">
        <v>670500</v>
      </c>
      <c r="J7" s="83">
        <v>745787.5</v>
      </c>
    </row>
    <row r="8" spans="1:13">
      <c r="A8">
        <v>7</v>
      </c>
      <c r="B8" s="57">
        <v>45999</v>
      </c>
      <c r="C8" s="57">
        <v>46006</v>
      </c>
      <c r="D8" t="s">
        <v>972</v>
      </c>
      <c r="E8" t="s">
        <v>973</v>
      </c>
      <c r="F8" t="s">
        <v>974</v>
      </c>
      <c r="G8" t="s">
        <v>807</v>
      </c>
      <c r="H8">
        <v>1</v>
      </c>
      <c r="I8" s="20">
        <v>1177080</v>
      </c>
      <c r="J8" s="83">
        <v>1265361</v>
      </c>
    </row>
    <row r="9" spans="1:13">
      <c r="A9">
        <v>8</v>
      </c>
      <c r="B9" s="57">
        <v>45999</v>
      </c>
      <c r="C9" s="57">
        <v>46006</v>
      </c>
      <c r="D9" t="s">
        <v>975</v>
      </c>
      <c r="E9" t="s">
        <v>976</v>
      </c>
      <c r="F9" t="s">
        <v>977</v>
      </c>
      <c r="G9" t="s">
        <v>807</v>
      </c>
      <c r="H9">
        <v>1</v>
      </c>
      <c r="I9" s="20">
        <v>754800</v>
      </c>
      <c r="J9" s="83">
        <v>811410</v>
      </c>
    </row>
    <row r="10" spans="1:13">
      <c r="A10">
        <v>9</v>
      </c>
      <c r="B10" s="57">
        <v>45999</v>
      </c>
      <c r="C10" s="57">
        <v>46006</v>
      </c>
      <c r="D10" t="s">
        <v>978</v>
      </c>
      <c r="E10" t="s">
        <v>979</v>
      </c>
      <c r="F10" s="68" t="s">
        <v>980</v>
      </c>
      <c r="G10" t="s">
        <v>535</v>
      </c>
      <c r="H10">
        <v>1</v>
      </c>
      <c r="I10" s="20">
        <v>603500</v>
      </c>
      <c r="J10" s="83">
        <v>768762.5</v>
      </c>
    </row>
    <row r="11" spans="1:13">
      <c r="A11">
        <v>10</v>
      </c>
      <c r="B11" s="57">
        <v>45999</v>
      </c>
      <c r="C11" s="84">
        <v>46027</v>
      </c>
      <c r="D11" t="s">
        <v>981</v>
      </c>
      <c r="E11" t="s">
        <v>982</v>
      </c>
      <c r="F11" t="s">
        <v>983</v>
      </c>
      <c r="G11" t="s">
        <v>984</v>
      </c>
      <c r="H11" t="s">
        <v>69</v>
      </c>
      <c r="J11" s="83">
        <v>21375000</v>
      </c>
    </row>
    <row r="12" spans="1:13">
      <c r="A12">
        <v>11</v>
      </c>
      <c r="B12" s="57">
        <v>46000</v>
      </c>
      <c r="C12" s="57">
        <v>46007</v>
      </c>
      <c r="D12" t="s">
        <v>985</v>
      </c>
      <c r="E12" t="s">
        <v>986</v>
      </c>
      <c r="F12" s="68" t="s">
        <v>987</v>
      </c>
      <c r="G12" t="s">
        <v>465</v>
      </c>
      <c r="H12">
        <v>1</v>
      </c>
      <c r="I12" s="20">
        <v>1322500</v>
      </c>
      <c r="J12" s="83">
        <v>1421687.5</v>
      </c>
    </row>
    <row r="13" spans="1:13">
      <c r="A13">
        <v>12</v>
      </c>
      <c r="B13" s="57">
        <v>46000</v>
      </c>
      <c r="C13" s="57">
        <v>46007</v>
      </c>
      <c r="D13" t="s">
        <v>988</v>
      </c>
      <c r="E13" t="s">
        <v>989</v>
      </c>
      <c r="F13" t="s">
        <v>854</v>
      </c>
      <c r="G13" t="s">
        <v>465</v>
      </c>
      <c r="H13">
        <v>3</v>
      </c>
      <c r="J13" s="83">
        <v>1626260</v>
      </c>
    </row>
    <row r="14" spans="1:13">
      <c r="A14">
        <v>13</v>
      </c>
      <c r="B14" s="57">
        <v>46001</v>
      </c>
      <c r="C14" s="57">
        <v>46008</v>
      </c>
      <c r="D14" t="s">
        <v>990</v>
      </c>
      <c r="E14" t="s">
        <v>991</v>
      </c>
      <c r="F14" t="s">
        <v>992</v>
      </c>
      <c r="G14" t="s">
        <v>807</v>
      </c>
      <c r="H14">
        <v>3</v>
      </c>
      <c r="I14" s="20">
        <v>1177080</v>
      </c>
      <c r="J14" s="83">
        <v>3796083</v>
      </c>
    </row>
    <row r="15" spans="1:13">
      <c r="A15">
        <v>14</v>
      </c>
      <c r="B15" s="57">
        <v>46000</v>
      </c>
      <c r="C15" s="57">
        <v>46019</v>
      </c>
      <c r="D15" t="s">
        <v>993</v>
      </c>
      <c r="E15" s="59" t="s">
        <v>31</v>
      </c>
      <c r="F15" t="s">
        <v>994</v>
      </c>
      <c r="G15" t="s">
        <v>995</v>
      </c>
      <c r="H15">
        <v>1</v>
      </c>
      <c r="L15" s="83">
        <v>7754.3</v>
      </c>
    </row>
    <row r="16" spans="1:13">
      <c r="A16">
        <v>15</v>
      </c>
      <c r="B16" s="57">
        <v>46006</v>
      </c>
      <c r="C16" s="57">
        <v>46013</v>
      </c>
      <c r="D16" t="s">
        <v>996</v>
      </c>
      <c r="E16" t="s">
        <v>997</v>
      </c>
      <c r="F16" t="s">
        <v>998</v>
      </c>
      <c r="G16" t="s">
        <v>465</v>
      </c>
      <c r="H16">
        <v>5</v>
      </c>
      <c r="I16" s="20">
        <v>467250</v>
      </c>
      <c r="J16" s="83">
        <v>2511468.75</v>
      </c>
    </row>
    <row r="17" spans="1:11">
      <c r="A17">
        <v>16</v>
      </c>
      <c r="B17" s="57">
        <v>46006</v>
      </c>
      <c r="C17" s="57">
        <v>46013</v>
      </c>
      <c r="D17" t="s">
        <v>999</v>
      </c>
      <c r="E17" t="s">
        <v>1000</v>
      </c>
      <c r="F17" t="s">
        <v>1001</v>
      </c>
      <c r="G17" t="s">
        <v>915</v>
      </c>
      <c r="H17">
        <v>22</v>
      </c>
      <c r="I17" s="20">
        <v>260000</v>
      </c>
      <c r="J17" s="83">
        <v>6149000</v>
      </c>
    </row>
    <row r="18" spans="1:11">
      <c r="A18">
        <v>17</v>
      </c>
      <c r="B18" s="57">
        <v>46003</v>
      </c>
      <c r="C18" s="57">
        <v>46010</v>
      </c>
      <c r="D18" t="s">
        <v>1002</v>
      </c>
      <c r="E18" t="s">
        <v>997</v>
      </c>
      <c r="F18" t="s">
        <v>1003</v>
      </c>
      <c r="G18" t="s">
        <v>468</v>
      </c>
      <c r="H18">
        <v>3</v>
      </c>
      <c r="I18" s="20">
        <v>175000</v>
      </c>
      <c r="J18" s="83">
        <v>564375</v>
      </c>
    </row>
    <row r="19" spans="1:11">
      <c r="A19">
        <v>18</v>
      </c>
      <c r="B19" s="57">
        <v>46003</v>
      </c>
      <c r="C19" s="57">
        <v>46010</v>
      </c>
      <c r="D19" t="s">
        <v>1004</v>
      </c>
      <c r="E19" t="s">
        <v>1000</v>
      </c>
      <c r="F19" t="s">
        <v>854</v>
      </c>
      <c r="G19" t="s">
        <v>478</v>
      </c>
      <c r="H19">
        <v>5</v>
      </c>
      <c r="J19" s="83">
        <v>2590271.63</v>
      </c>
    </row>
    <row r="20" spans="1:11">
      <c r="A20">
        <v>19</v>
      </c>
      <c r="B20" s="57">
        <v>46006</v>
      </c>
      <c r="C20" s="57">
        <v>46013</v>
      </c>
      <c r="D20" t="s">
        <v>1005</v>
      </c>
      <c r="E20" t="s">
        <v>1006</v>
      </c>
      <c r="F20" t="s">
        <v>573</v>
      </c>
      <c r="G20" t="s">
        <v>971</v>
      </c>
      <c r="H20">
        <v>13</v>
      </c>
      <c r="I20" s="20">
        <v>195500</v>
      </c>
      <c r="J20" s="83">
        <v>2732112.5</v>
      </c>
    </row>
    <row r="21" spans="1:11">
      <c r="A21">
        <v>20</v>
      </c>
      <c r="B21" s="57">
        <v>46006</v>
      </c>
      <c r="C21" s="57">
        <v>46013</v>
      </c>
      <c r="D21" t="s">
        <v>1007</v>
      </c>
      <c r="E21" t="s">
        <v>1000</v>
      </c>
      <c r="F21" t="s">
        <v>967</v>
      </c>
      <c r="G21" t="s">
        <v>968</v>
      </c>
      <c r="H21">
        <v>12</v>
      </c>
      <c r="I21" s="20">
        <v>250000</v>
      </c>
      <c r="J21" s="20">
        <v>3225000</v>
      </c>
    </row>
    <row r="22" spans="1:11">
      <c r="A22">
        <v>21</v>
      </c>
      <c r="B22" s="57">
        <v>46006</v>
      </c>
      <c r="C22" s="57">
        <v>46013</v>
      </c>
      <c r="D22" t="s">
        <v>1008</v>
      </c>
      <c r="E22" t="s">
        <v>1000</v>
      </c>
      <c r="F22" t="s">
        <v>573</v>
      </c>
      <c r="G22" t="s">
        <v>537</v>
      </c>
      <c r="H22">
        <v>16</v>
      </c>
      <c r="J22" s="83">
        <v>4163045</v>
      </c>
    </row>
    <row r="23" spans="1:11">
      <c r="A23">
        <v>22</v>
      </c>
      <c r="B23" s="57">
        <v>46006</v>
      </c>
      <c r="C23" s="85">
        <v>46054</v>
      </c>
      <c r="D23" t="s">
        <v>1009</v>
      </c>
      <c r="E23" t="s">
        <v>1010</v>
      </c>
      <c r="F23" t="s">
        <v>770</v>
      </c>
      <c r="G23" t="s">
        <v>771</v>
      </c>
      <c r="H23" t="s">
        <v>69</v>
      </c>
      <c r="J23" s="83">
        <v>2847970.5</v>
      </c>
    </row>
    <row r="24" spans="1:11">
      <c r="A24">
        <v>23</v>
      </c>
      <c r="B24" s="57">
        <v>46006</v>
      </c>
      <c r="C24" s="57">
        <v>46013</v>
      </c>
      <c r="D24" t="s">
        <v>1011</v>
      </c>
      <c r="E24" t="s">
        <v>1012</v>
      </c>
      <c r="F24" t="s">
        <v>1013</v>
      </c>
      <c r="G24" t="s">
        <v>915</v>
      </c>
      <c r="H24" t="s">
        <v>554</v>
      </c>
      <c r="J24" s="83">
        <v>172204250</v>
      </c>
    </row>
    <row r="25" spans="1:11">
      <c r="A25">
        <v>24</v>
      </c>
      <c r="B25" s="57">
        <v>46006</v>
      </c>
      <c r="C25" s="57">
        <v>45722</v>
      </c>
      <c r="D25" t="s">
        <v>1014</v>
      </c>
      <c r="E25" t="s">
        <v>1012</v>
      </c>
      <c r="F25" t="s">
        <v>1015</v>
      </c>
      <c r="G25" t="s">
        <v>1016</v>
      </c>
      <c r="H25" t="s">
        <v>554</v>
      </c>
      <c r="K25" s="58">
        <v>326278.31</v>
      </c>
    </row>
    <row r="26" spans="1:11">
      <c r="A26">
        <v>25</v>
      </c>
      <c r="B26" s="57">
        <v>46008</v>
      </c>
      <c r="C26" s="57">
        <v>46015</v>
      </c>
      <c r="D26" t="s">
        <v>1017</v>
      </c>
      <c r="E26" t="s">
        <v>1018</v>
      </c>
      <c r="F26" t="s">
        <v>1019</v>
      </c>
      <c r="G26" t="s">
        <v>590</v>
      </c>
      <c r="H26">
        <v>1</v>
      </c>
      <c r="I26" s="20">
        <v>1800000</v>
      </c>
      <c r="J26" s="83">
        <v>1935000</v>
      </c>
    </row>
    <row r="27" spans="1:11">
      <c r="A27">
        <v>26</v>
      </c>
      <c r="B27" s="57">
        <v>46008</v>
      </c>
      <c r="C27" s="57">
        <v>46015</v>
      </c>
      <c r="D27" t="s">
        <v>1020</v>
      </c>
      <c r="E27" t="s">
        <v>1021</v>
      </c>
      <c r="F27" t="s">
        <v>1022</v>
      </c>
      <c r="G27" t="s">
        <v>590</v>
      </c>
      <c r="H27">
        <v>4</v>
      </c>
      <c r="I27" s="20">
        <v>120000</v>
      </c>
      <c r="J27" s="83">
        <v>516000</v>
      </c>
    </row>
    <row r="28" spans="1:11">
      <c r="A28">
        <v>27</v>
      </c>
      <c r="B28" s="57">
        <v>46008</v>
      </c>
      <c r="C28" s="57">
        <v>46013</v>
      </c>
      <c r="D28" t="s">
        <v>1023</v>
      </c>
      <c r="E28" t="s">
        <v>94</v>
      </c>
      <c r="F28" t="s">
        <v>599</v>
      </c>
      <c r="G28" t="s">
        <v>882</v>
      </c>
      <c r="H28">
        <v>3000</v>
      </c>
      <c r="I28" s="20">
        <v>236.5</v>
      </c>
      <c r="J28" s="83">
        <v>709500</v>
      </c>
    </row>
    <row r="29" spans="1:11">
      <c r="A29">
        <v>28</v>
      </c>
      <c r="B29" s="57">
        <v>46008</v>
      </c>
      <c r="C29" s="57">
        <v>46015</v>
      </c>
      <c r="D29" t="s">
        <v>1024</v>
      </c>
      <c r="E29" t="s">
        <v>1025</v>
      </c>
      <c r="F29" t="s">
        <v>1026</v>
      </c>
      <c r="G29" t="s">
        <v>840</v>
      </c>
      <c r="H29">
        <v>2</v>
      </c>
      <c r="I29" s="20">
        <v>1190733</v>
      </c>
      <c r="J29" s="20">
        <v>2560075.9500000002</v>
      </c>
    </row>
    <row r="30" spans="1:11">
      <c r="A30">
        <v>29</v>
      </c>
      <c r="B30" s="57">
        <v>46008</v>
      </c>
      <c r="C30" s="57">
        <v>46015</v>
      </c>
      <c r="D30" t="s">
        <v>1027</v>
      </c>
      <c r="E30" t="s">
        <v>1028</v>
      </c>
      <c r="F30" t="s">
        <v>858</v>
      </c>
      <c r="G30" t="s">
        <v>544</v>
      </c>
      <c r="H30">
        <v>40</v>
      </c>
      <c r="I30" s="20">
        <v>22000</v>
      </c>
      <c r="J30" s="83">
        <v>946000</v>
      </c>
    </row>
    <row r="31" spans="1:11">
      <c r="A31">
        <v>30</v>
      </c>
      <c r="B31" s="57">
        <v>46009</v>
      </c>
      <c r="C31" s="57">
        <v>46015</v>
      </c>
      <c r="D31" t="s">
        <v>1029</v>
      </c>
      <c r="E31" t="s">
        <v>1030</v>
      </c>
      <c r="F31" t="s">
        <v>967</v>
      </c>
      <c r="G31" t="s">
        <v>968</v>
      </c>
      <c r="H31">
        <v>8</v>
      </c>
      <c r="I31" s="20">
        <v>250000</v>
      </c>
      <c r="J31" s="83">
        <v>2150000</v>
      </c>
    </row>
    <row r="32" spans="1:11">
      <c r="A32">
        <v>31</v>
      </c>
      <c r="B32" s="57">
        <v>46009</v>
      </c>
      <c r="C32" s="57">
        <v>46015</v>
      </c>
      <c r="D32" t="s">
        <v>1031</v>
      </c>
      <c r="E32" t="s">
        <v>1032</v>
      </c>
      <c r="F32" t="s">
        <v>573</v>
      </c>
      <c r="G32" t="s">
        <v>537</v>
      </c>
      <c r="H32">
        <v>5</v>
      </c>
      <c r="J32" s="83">
        <v>1316337.5</v>
      </c>
    </row>
    <row r="33" spans="1:10">
      <c r="A33">
        <v>32</v>
      </c>
      <c r="B33" s="57">
        <v>46009</v>
      </c>
      <c r="C33" s="57">
        <v>46015</v>
      </c>
      <c r="D33" t="s">
        <v>1033</v>
      </c>
      <c r="E33" t="s">
        <v>1032</v>
      </c>
      <c r="F33" t="s">
        <v>1034</v>
      </c>
      <c r="G33" s="61" t="s">
        <v>971</v>
      </c>
      <c r="H33">
        <v>1</v>
      </c>
      <c r="I33" s="20">
        <v>195500</v>
      </c>
      <c r="J33" s="83">
        <v>210162.5</v>
      </c>
    </row>
    <row r="34" spans="1:10">
      <c r="A34">
        <v>33</v>
      </c>
      <c r="B34" s="57">
        <v>46009</v>
      </c>
      <c r="C34" s="57">
        <v>46015</v>
      </c>
      <c r="D34" t="s">
        <v>1035</v>
      </c>
      <c r="E34" t="s">
        <v>1032</v>
      </c>
      <c r="F34" t="s">
        <v>821</v>
      </c>
      <c r="G34" t="s">
        <v>535</v>
      </c>
      <c r="H34">
        <v>1</v>
      </c>
      <c r="I34" s="20">
        <v>494950</v>
      </c>
      <c r="J34" s="83">
        <v>532071.25</v>
      </c>
    </row>
    <row r="35" spans="1:10">
      <c r="A35">
        <v>34</v>
      </c>
      <c r="B35" s="57">
        <v>46009</v>
      </c>
      <c r="C35" s="57">
        <v>46015</v>
      </c>
      <c r="D35" t="s">
        <v>1036</v>
      </c>
      <c r="E35" t="s">
        <v>1037</v>
      </c>
      <c r="F35" t="s">
        <v>1038</v>
      </c>
      <c r="G35" t="s">
        <v>590</v>
      </c>
      <c r="H35">
        <v>5</v>
      </c>
      <c r="I35" s="20">
        <v>175000</v>
      </c>
      <c r="J35" s="83">
        <v>940625</v>
      </c>
    </row>
    <row r="36" spans="1:10">
      <c r="A36">
        <v>35</v>
      </c>
      <c r="B36" s="57">
        <v>46009</v>
      </c>
      <c r="C36" s="57">
        <v>46015</v>
      </c>
      <c r="D36" t="s">
        <v>1039</v>
      </c>
      <c r="E36" t="s">
        <v>1040</v>
      </c>
      <c r="F36" t="s">
        <v>1041</v>
      </c>
      <c r="G36" t="s">
        <v>478</v>
      </c>
      <c r="H36">
        <v>2</v>
      </c>
      <c r="I36" s="20">
        <v>430000</v>
      </c>
      <c r="J36" s="83">
        <v>924500</v>
      </c>
    </row>
    <row r="37" spans="1:10">
      <c r="A37">
        <v>36</v>
      </c>
      <c r="B37" s="57">
        <v>46009</v>
      </c>
      <c r="C37" s="57">
        <v>46015</v>
      </c>
      <c r="D37" t="s">
        <v>1042</v>
      </c>
      <c r="E37" t="s">
        <v>1043</v>
      </c>
      <c r="F37" t="s">
        <v>1044</v>
      </c>
      <c r="G37" t="s">
        <v>1045</v>
      </c>
      <c r="H37">
        <v>1</v>
      </c>
      <c r="I37" s="20">
        <v>1350000</v>
      </c>
      <c r="J37" s="83">
        <v>1451250</v>
      </c>
    </row>
    <row r="38" spans="1:10">
      <c r="A38">
        <v>37</v>
      </c>
      <c r="B38" s="57">
        <v>46009</v>
      </c>
      <c r="C38" s="57">
        <v>46015</v>
      </c>
      <c r="D38" t="s">
        <v>1046</v>
      </c>
      <c r="E38" t="s">
        <v>1047</v>
      </c>
      <c r="F38" t="s">
        <v>844</v>
      </c>
      <c r="G38" t="s">
        <v>876</v>
      </c>
      <c r="H38">
        <v>1</v>
      </c>
      <c r="I38" s="20">
        <v>135000</v>
      </c>
      <c r="J38" s="83">
        <v>145125</v>
      </c>
    </row>
    <row r="39" spans="1:10">
      <c r="A39">
        <v>38</v>
      </c>
      <c r="B39" s="57">
        <v>46009</v>
      </c>
      <c r="C39" s="57">
        <v>46015</v>
      </c>
      <c r="D39" t="s">
        <v>1048</v>
      </c>
      <c r="E39" t="s">
        <v>1049</v>
      </c>
      <c r="F39" t="s">
        <v>1050</v>
      </c>
      <c r="G39" t="s">
        <v>781</v>
      </c>
      <c r="H39">
        <v>3</v>
      </c>
      <c r="I39" s="20">
        <v>754800</v>
      </c>
      <c r="J39" s="83">
        <v>2434230</v>
      </c>
    </row>
    <row r="40" spans="1:10">
      <c r="A40">
        <v>39</v>
      </c>
      <c r="B40" s="57">
        <v>46013</v>
      </c>
      <c r="C40" s="57">
        <v>46030</v>
      </c>
      <c r="D40" t="s">
        <v>1051</v>
      </c>
      <c r="E40" t="s">
        <v>1052</v>
      </c>
      <c r="F40" t="s">
        <v>1053</v>
      </c>
      <c r="G40" t="s">
        <v>1054</v>
      </c>
      <c r="H40" t="s">
        <v>554</v>
      </c>
      <c r="J40" s="20">
        <v>4716573.6900000004</v>
      </c>
    </row>
    <row r="41" spans="1:10">
      <c r="A41">
        <v>40</v>
      </c>
      <c r="B41" s="57">
        <v>46013</v>
      </c>
      <c r="C41" s="57">
        <v>46020</v>
      </c>
      <c r="D41" t="s">
        <v>1055</v>
      </c>
      <c r="E41" t="s">
        <v>1006</v>
      </c>
      <c r="F41" t="s">
        <v>573</v>
      </c>
      <c r="G41" t="s">
        <v>537</v>
      </c>
      <c r="H41">
        <v>6</v>
      </c>
      <c r="J41" s="83">
        <v>1861405.5</v>
      </c>
    </row>
    <row r="42" spans="1:10">
      <c r="A42">
        <v>41</v>
      </c>
      <c r="B42" s="57">
        <v>46013</v>
      </c>
      <c r="C42" s="57">
        <v>46020</v>
      </c>
      <c r="D42" t="s">
        <v>1056</v>
      </c>
      <c r="E42" t="s">
        <v>674</v>
      </c>
      <c r="F42" t="s">
        <v>1003</v>
      </c>
      <c r="G42" t="s">
        <v>468</v>
      </c>
      <c r="H42">
        <v>3</v>
      </c>
      <c r="I42" s="20">
        <v>175000</v>
      </c>
      <c r="J42" s="83">
        <v>564375</v>
      </c>
    </row>
    <row r="43" spans="1:10">
      <c r="A43">
        <v>42</v>
      </c>
      <c r="B43" s="57">
        <v>46013</v>
      </c>
      <c r="C43" s="57">
        <v>46020</v>
      </c>
      <c r="D43" t="s">
        <v>1057</v>
      </c>
      <c r="E43" t="s">
        <v>674</v>
      </c>
      <c r="F43" t="s">
        <v>1058</v>
      </c>
      <c r="G43" t="s">
        <v>465</v>
      </c>
      <c r="H43">
        <v>2</v>
      </c>
      <c r="I43" s="20">
        <v>401200</v>
      </c>
      <c r="J43" s="83">
        <v>862580</v>
      </c>
    </row>
    <row r="44" spans="1:10">
      <c r="A44">
        <v>43</v>
      </c>
      <c r="B44" s="57">
        <v>46013</v>
      </c>
      <c r="C44" s="57">
        <v>46020</v>
      </c>
      <c r="D44" t="s">
        <v>1059</v>
      </c>
      <c r="E44" t="s">
        <v>1060</v>
      </c>
      <c r="F44" t="s">
        <v>461</v>
      </c>
      <c r="G44" t="s">
        <v>462</v>
      </c>
      <c r="H44">
        <v>9</v>
      </c>
      <c r="J44" s="20">
        <v>6786475</v>
      </c>
    </row>
    <row r="45" spans="1:10">
      <c r="A45">
        <v>44</v>
      </c>
      <c r="B45" s="57">
        <v>46013</v>
      </c>
      <c r="C45" s="57">
        <v>46020</v>
      </c>
      <c r="D45" t="s">
        <v>1061</v>
      </c>
      <c r="E45" t="s">
        <v>1060</v>
      </c>
      <c r="F45" t="s">
        <v>1058</v>
      </c>
      <c r="G45" t="s">
        <v>465</v>
      </c>
      <c r="H45">
        <v>1</v>
      </c>
      <c r="I45" s="20">
        <v>401200</v>
      </c>
      <c r="J45" s="83">
        <v>431290</v>
      </c>
    </row>
    <row r="46" spans="1:10">
      <c r="A46">
        <v>45</v>
      </c>
      <c r="B46" s="57">
        <v>46013</v>
      </c>
      <c r="C46" s="57">
        <v>46020</v>
      </c>
      <c r="D46" t="s">
        <v>1062</v>
      </c>
      <c r="E46" t="s">
        <v>1060</v>
      </c>
      <c r="F46" t="s">
        <v>1063</v>
      </c>
      <c r="G46" t="s">
        <v>537</v>
      </c>
      <c r="H46">
        <v>5</v>
      </c>
      <c r="I46" s="20">
        <v>219600</v>
      </c>
      <c r="J46" s="83">
        <v>1180350</v>
      </c>
    </row>
    <row r="47" spans="1:10">
      <c r="A47">
        <v>46</v>
      </c>
      <c r="B47" s="57">
        <v>46013</v>
      </c>
      <c r="C47" s="57">
        <v>46020</v>
      </c>
      <c r="D47" t="s">
        <v>1064</v>
      </c>
      <c r="E47" t="s">
        <v>1060</v>
      </c>
      <c r="F47" t="s">
        <v>1065</v>
      </c>
      <c r="G47" t="s">
        <v>468</v>
      </c>
      <c r="H47">
        <v>2</v>
      </c>
      <c r="I47" s="20">
        <v>175000</v>
      </c>
      <c r="J47" s="83">
        <v>376250</v>
      </c>
    </row>
    <row r="48" spans="1:10">
      <c r="A48">
        <v>47</v>
      </c>
      <c r="B48" s="57">
        <v>46013</v>
      </c>
      <c r="C48" s="57">
        <v>46020</v>
      </c>
      <c r="D48" t="s">
        <v>1066</v>
      </c>
      <c r="E48" t="s">
        <v>1067</v>
      </c>
      <c r="F48" t="s">
        <v>1068</v>
      </c>
      <c r="G48" t="s">
        <v>465</v>
      </c>
      <c r="H48">
        <v>1</v>
      </c>
      <c r="I48" s="20">
        <v>370000</v>
      </c>
      <c r="J48" s="83">
        <v>397750</v>
      </c>
    </row>
    <row r="49" spans="1:11">
      <c r="A49">
        <v>48</v>
      </c>
      <c r="B49" s="57">
        <v>46014</v>
      </c>
      <c r="C49" s="57">
        <v>46021</v>
      </c>
      <c r="D49" t="s">
        <v>1069</v>
      </c>
      <c r="E49" t="s">
        <v>1070</v>
      </c>
      <c r="F49" t="s">
        <v>1071</v>
      </c>
      <c r="G49" s="62" t="s">
        <v>1072</v>
      </c>
      <c r="H49">
        <v>1</v>
      </c>
      <c r="I49" s="20">
        <v>611150</v>
      </c>
      <c r="J49" s="83">
        <v>656986.25</v>
      </c>
    </row>
    <row r="50" spans="1:11">
      <c r="A50">
        <v>49</v>
      </c>
      <c r="B50" s="57">
        <v>46015</v>
      </c>
      <c r="C50" t="s">
        <v>1073</v>
      </c>
      <c r="D50" t="s">
        <v>1074</v>
      </c>
      <c r="E50" t="s">
        <v>31</v>
      </c>
      <c r="F50" t="s">
        <v>1075</v>
      </c>
      <c r="G50" t="s">
        <v>1076</v>
      </c>
      <c r="H50" t="s">
        <v>554</v>
      </c>
      <c r="K50" s="83">
        <v>355052.69</v>
      </c>
    </row>
    <row r="51" spans="1:11">
      <c r="A51">
        <v>50</v>
      </c>
      <c r="B51" s="57">
        <v>46015</v>
      </c>
      <c r="C51" s="57">
        <v>46021</v>
      </c>
      <c r="D51" t="s">
        <v>1077</v>
      </c>
      <c r="E51" t="s">
        <v>1078</v>
      </c>
      <c r="F51" t="s">
        <v>1079</v>
      </c>
      <c r="G51" t="s">
        <v>1080</v>
      </c>
      <c r="H51">
        <v>1</v>
      </c>
      <c r="J51" s="83">
        <v>193231250</v>
      </c>
    </row>
    <row r="52" spans="1:11">
      <c r="A52">
        <v>51</v>
      </c>
      <c r="B52" s="57">
        <v>46020</v>
      </c>
      <c r="C52" s="57">
        <v>46024</v>
      </c>
      <c r="D52" t="s">
        <v>1081</v>
      </c>
      <c r="E52" t="s">
        <v>94</v>
      </c>
      <c r="F52" t="s">
        <v>611</v>
      </c>
      <c r="G52" t="s">
        <v>612</v>
      </c>
      <c r="H52" t="s">
        <v>554</v>
      </c>
      <c r="J52" s="83">
        <v>2235000</v>
      </c>
    </row>
    <row r="53" spans="1:11">
      <c r="A53">
        <v>52</v>
      </c>
      <c r="B53" s="57">
        <v>46021</v>
      </c>
      <c r="C53" s="57">
        <v>46027</v>
      </c>
      <c r="D53" t="s">
        <v>1082</v>
      </c>
      <c r="E53" t="s">
        <v>94</v>
      </c>
      <c r="F53" t="s">
        <v>620</v>
      </c>
      <c r="G53" t="s">
        <v>621</v>
      </c>
      <c r="H53" t="s">
        <v>554</v>
      </c>
      <c r="J53" s="83">
        <v>3030000</v>
      </c>
    </row>
    <row r="54" spans="1:11">
      <c r="A54">
        <v>53</v>
      </c>
      <c r="B54" s="57">
        <v>46021</v>
      </c>
      <c r="C54" s="57">
        <v>46027</v>
      </c>
      <c r="D54" t="s">
        <v>1083</v>
      </c>
      <c r="E54" t="s">
        <v>94</v>
      </c>
      <c r="F54" t="s">
        <v>605</v>
      </c>
      <c r="G54" t="s">
        <v>606</v>
      </c>
      <c r="H54" t="s">
        <v>554</v>
      </c>
      <c r="J54" s="83">
        <v>2336018</v>
      </c>
    </row>
    <row r="55" spans="1:11">
      <c r="A55">
        <v>54</v>
      </c>
      <c r="B55" s="57">
        <v>46021</v>
      </c>
      <c r="C55" s="57">
        <v>46027</v>
      </c>
      <c r="D55" t="s">
        <v>1084</v>
      </c>
      <c r="E55" t="s">
        <v>94</v>
      </c>
      <c r="F55" t="s">
        <v>605</v>
      </c>
      <c r="G55" t="s">
        <v>663</v>
      </c>
      <c r="H55" t="s">
        <v>554</v>
      </c>
      <c r="J55" s="83">
        <v>3117500</v>
      </c>
    </row>
    <row r="56" spans="1:11">
      <c r="A56">
        <v>55</v>
      </c>
      <c r="B56" s="57">
        <v>46021</v>
      </c>
      <c r="C56" s="57">
        <v>46027</v>
      </c>
      <c r="D56" t="s">
        <v>1085</v>
      </c>
      <c r="E56" t="s">
        <v>94</v>
      </c>
      <c r="F56" t="s">
        <v>602</v>
      </c>
      <c r="G56" t="s">
        <v>650</v>
      </c>
      <c r="H56" t="s">
        <v>554</v>
      </c>
      <c r="J56" s="83">
        <v>2177125</v>
      </c>
    </row>
    <row r="57" spans="1:11">
      <c r="A57">
        <v>56</v>
      </c>
      <c r="B57" s="57">
        <v>46021</v>
      </c>
      <c r="C57" s="57">
        <v>46027</v>
      </c>
      <c r="D57" t="s">
        <v>1086</v>
      </c>
      <c r="E57" t="s">
        <v>94</v>
      </c>
      <c r="F57" t="s">
        <v>602</v>
      </c>
      <c r="G57" t="s">
        <v>133</v>
      </c>
      <c r="H57" t="s">
        <v>554</v>
      </c>
      <c r="J57" s="83">
        <v>6554250</v>
      </c>
    </row>
    <row r="58" spans="1:11">
      <c r="A58">
        <v>57</v>
      </c>
      <c r="B58" s="57">
        <v>46021</v>
      </c>
      <c r="C58" s="57">
        <v>46027</v>
      </c>
      <c r="D58" t="s">
        <v>1087</v>
      </c>
      <c r="E58" t="s">
        <v>94</v>
      </c>
      <c r="F58" t="s">
        <v>1088</v>
      </c>
      <c r="G58" t="s">
        <v>609</v>
      </c>
      <c r="H58" t="s">
        <v>554</v>
      </c>
      <c r="J58">
        <v>7136500</v>
      </c>
    </row>
    <row r="59" spans="1:11">
      <c r="A59">
        <v>58</v>
      </c>
      <c r="B59" s="57">
        <v>46021</v>
      </c>
      <c r="C59" s="57">
        <v>46027</v>
      </c>
      <c r="D59" t="s">
        <v>1089</v>
      </c>
      <c r="E59" t="s">
        <v>94</v>
      </c>
      <c r="F59" t="s">
        <v>1090</v>
      </c>
      <c r="G59" t="s">
        <v>1091</v>
      </c>
      <c r="H59">
        <v>1500</v>
      </c>
      <c r="I59" s="20">
        <v>1500</v>
      </c>
      <c r="J59" s="83">
        <v>2250000</v>
      </c>
    </row>
    <row r="60" spans="1:11">
      <c r="A60">
        <v>59</v>
      </c>
      <c r="B60" s="57">
        <v>46021</v>
      </c>
      <c r="C60" s="57">
        <v>46027</v>
      </c>
      <c r="D60" t="s">
        <v>1092</v>
      </c>
      <c r="E60" t="s">
        <v>94</v>
      </c>
      <c r="F60" t="s">
        <v>599</v>
      </c>
      <c r="G60" t="s">
        <v>882</v>
      </c>
      <c r="H60">
        <v>15000</v>
      </c>
      <c r="I60" s="20">
        <v>236.5</v>
      </c>
      <c r="J60" s="83">
        <v>3547500</v>
      </c>
    </row>
    <row r="61" spans="1:11">
      <c r="A61">
        <v>60</v>
      </c>
      <c r="B61" s="57">
        <v>46021</v>
      </c>
      <c r="C61" s="57">
        <v>46027</v>
      </c>
      <c r="D61" t="s">
        <v>1093</v>
      </c>
      <c r="E61" t="s">
        <v>94</v>
      </c>
      <c r="F61" t="s">
        <v>602</v>
      </c>
      <c r="G61" t="s">
        <v>1094</v>
      </c>
      <c r="H61" t="s">
        <v>554</v>
      </c>
      <c r="J61" s="83">
        <v>1423300</v>
      </c>
    </row>
    <row r="62" spans="1:11">
      <c r="A62">
        <v>61</v>
      </c>
      <c r="B62" s="57">
        <v>46021</v>
      </c>
      <c r="C62" s="57">
        <v>46027</v>
      </c>
      <c r="D62" t="s">
        <v>1095</v>
      </c>
      <c r="E62" t="s">
        <v>94</v>
      </c>
      <c r="F62" t="s">
        <v>1096</v>
      </c>
      <c r="G62" t="s">
        <v>614</v>
      </c>
      <c r="H62">
        <v>50</v>
      </c>
      <c r="I62" s="20">
        <v>49000</v>
      </c>
      <c r="J62" s="83">
        <v>2450000</v>
      </c>
    </row>
    <row r="63" spans="1:11">
      <c r="A63">
        <v>62</v>
      </c>
      <c r="D63" t="s">
        <v>1097</v>
      </c>
    </row>
    <row r="64" spans="1:11">
      <c r="A64">
        <v>63</v>
      </c>
      <c r="D64" t="s">
        <v>1098</v>
      </c>
    </row>
    <row r="65" spans="1:10">
      <c r="A65">
        <v>64</v>
      </c>
      <c r="D65" t="s">
        <v>1099</v>
      </c>
    </row>
    <row r="66" spans="1:10">
      <c r="A66">
        <v>65</v>
      </c>
      <c r="D66" t="s">
        <v>1100</v>
      </c>
    </row>
    <row r="67" spans="1:10">
      <c r="A67">
        <v>66</v>
      </c>
      <c r="D67" t="s">
        <v>1101</v>
      </c>
    </row>
    <row r="68" spans="1:10">
      <c r="A68">
        <v>67</v>
      </c>
      <c r="D68" t="s">
        <v>1102</v>
      </c>
    </row>
    <row r="69" spans="1:10">
      <c r="A69">
        <v>68</v>
      </c>
      <c r="B69" s="57">
        <v>46020</v>
      </c>
      <c r="C69" s="57">
        <v>46022</v>
      </c>
      <c r="D69" t="s">
        <v>1103</v>
      </c>
      <c r="E69" t="s">
        <v>817</v>
      </c>
      <c r="F69" t="s">
        <v>1104</v>
      </c>
      <c r="G69" t="s">
        <v>631</v>
      </c>
      <c r="H69">
        <v>1</v>
      </c>
      <c r="J69" s="83">
        <v>4403750</v>
      </c>
    </row>
    <row r="70" spans="1:10">
      <c r="A70">
        <v>69</v>
      </c>
      <c r="B70" s="57">
        <v>46020</v>
      </c>
      <c r="C70" s="57">
        <v>46027</v>
      </c>
      <c r="D70" t="s">
        <v>1105</v>
      </c>
      <c r="E70" t="s">
        <v>1106</v>
      </c>
      <c r="F70" t="s">
        <v>1107</v>
      </c>
      <c r="G70" t="s">
        <v>590</v>
      </c>
      <c r="H70">
        <v>2</v>
      </c>
      <c r="I70" s="20">
        <v>175000</v>
      </c>
      <c r="J70" s="83">
        <v>376250</v>
      </c>
    </row>
    <row r="71" spans="1:10">
      <c r="A71">
        <v>70</v>
      </c>
      <c r="B71" s="57">
        <v>46020</v>
      </c>
      <c r="C71" s="57">
        <v>46027</v>
      </c>
      <c r="D71" t="s">
        <v>1108</v>
      </c>
      <c r="E71" t="s">
        <v>1109</v>
      </c>
      <c r="F71" t="s">
        <v>1110</v>
      </c>
      <c r="G71" t="s">
        <v>468</v>
      </c>
      <c r="H71">
        <v>2</v>
      </c>
      <c r="J71" s="83">
        <v>860000</v>
      </c>
    </row>
    <row r="72" spans="1:10">
      <c r="A72">
        <v>71</v>
      </c>
      <c r="B72" s="57">
        <v>46020</v>
      </c>
      <c r="C72" s="57">
        <v>46027</v>
      </c>
      <c r="D72" t="s">
        <v>1111</v>
      </c>
      <c r="E72" t="s">
        <v>1112</v>
      </c>
      <c r="F72" t="s">
        <v>1113</v>
      </c>
      <c r="G72" t="s">
        <v>471</v>
      </c>
      <c r="H72">
        <v>1</v>
      </c>
      <c r="I72" s="20">
        <v>525000</v>
      </c>
      <c r="J72" s="83">
        <v>564375</v>
      </c>
    </row>
    <row r="73" spans="1:10">
      <c r="A73">
        <v>72</v>
      </c>
      <c r="B73" s="57">
        <v>46022</v>
      </c>
      <c r="C73" s="57">
        <v>46024</v>
      </c>
      <c r="D73" t="s">
        <v>1114</v>
      </c>
      <c r="E73" t="s">
        <v>1115</v>
      </c>
      <c r="F73" t="s">
        <v>1116</v>
      </c>
      <c r="G73" t="s">
        <v>535</v>
      </c>
      <c r="H73">
        <v>12</v>
      </c>
      <c r="I73" s="20">
        <v>249300</v>
      </c>
      <c r="J73" s="83">
        <v>3215970</v>
      </c>
    </row>
    <row r="74" spans="1:10">
      <c r="A74">
        <v>73</v>
      </c>
      <c r="B74" s="57">
        <v>46022</v>
      </c>
      <c r="C74" s="57">
        <v>46029</v>
      </c>
      <c r="D74" t="s">
        <v>1117</v>
      </c>
      <c r="E74" t="s">
        <v>637</v>
      </c>
      <c r="F74" t="s">
        <v>1118</v>
      </c>
      <c r="G74" t="s">
        <v>781</v>
      </c>
      <c r="H74">
        <v>2</v>
      </c>
      <c r="I74" s="20">
        <v>2207280</v>
      </c>
      <c r="J74" s="83">
        <v>4745652</v>
      </c>
    </row>
    <row r="75" spans="1:10">
      <c r="A75">
        <v>74</v>
      </c>
      <c r="B75" s="57">
        <v>46022</v>
      </c>
      <c r="C75" s="57">
        <v>46078</v>
      </c>
      <c r="D75" t="s">
        <v>1119</v>
      </c>
      <c r="E75" t="s">
        <v>31</v>
      </c>
      <c r="F75" t="s">
        <v>1120</v>
      </c>
      <c r="G75" t="s">
        <v>1121</v>
      </c>
      <c r="H75" s="86">
        <v>90000</v>
      </c>
      <c r="J75" s="83">
        <v>142222500</v>
      </c>
    </row>
    <row r="76" spans="1:10">
      <c r="A76">
        <v>75</v>
      </c>
      <c r="D76" t="s">
        <v>1122</v>
      </c>
    </row>
    <row r="77" spans="1:10">
      <c r="A77">
        <v>76</v>
      </c>
      <c r="D77" t="s">
        <v>1123</v>
      </c>
    </row>
    <row r="78" spans="1:10">
      <c r="A78">
        <v>77</v>
      </c>
      <c r="D78" t="s">
        <v>1124</v>
      </c>
    </row>
    <row r="79" spans="1:10">
      <c r="A79">
        <v>78</v>
      </c>
      <c r="D79" t="s">
        <v>1125</v>
      </c>
    </row>
    <row r="80" spans="1:10">
      <c r="A80">
        <v>79</v>
      </c>
      <c r="D80" t="s">
        <v>1126</v>
      </c>
    </row>
    <row r="81" spans="1:4">
      <c r="A81">
        <v>80</v>
      </c>
      <c r="D81" t="s">
        <v>1127</v>
      </c>
    </row>
    <row r="82" spans="1:4">
      <c r="A82">
        <v>81</v>
      </c>
      <c r="D82" t="s">
        <v>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6858-CDC4-45F0-ADDC-4C6F5DE10F94}">
  <dimension ref="A1:M48"/>
  <sheetViews>
    <sheetView topLeftCell="C9" workbookViewId="0">
      <selection activeCell="J23" sqref="J23"/>
    </sheetView>
  </sheetViews>
  <sheetFormatPr defaultRowHeight="15"/>
  <cols>
    <col min="1" max="1" width="5.5703125" style="21" bestFit="1" customWidth="1"/>
    <col min="2" max="3" width="16.140625" customWidth="1"/>
    <col min="4" max="4" width="24.140625" customWidth="1"/>
    <col min="5" max="5" width="31.85546875" bestFit="1" customWidth="1"/>
    <col min="6" max="6" width="37.85546875" bestFit="1" customWidth="1"/>
    <col min="7" max="7" width="33.5703125" bestFit="1" customWidth="1"/>
    <col min="9" max="10" width="18.140625" style="20" customWidth="1"/>
    <col min="11" max="12" width="18.140625" customWidth="1"/>
    <col min="13" max="13" width="14" bestFit="1" customWidth="1"/>
  </cols>
  <sheetData>
    <row r="1" spans="1:13" ht="37.5">
      <c r="A1" s="92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2" t="s">
        <v>139</v>
      </c>
      <c r="I1" s="53" t="s">
        <v>443</v>
      </c>
      <c r="J1" s="93" t="s">
        <v>9</v>
      </c>
      <c r="K1" s="93" t="s">
        <v>1129</v>
      </c>
      <c r="L1" s="93" t="s">
        <v>532</v>
      </c>
      <c r="M1" s="28" t="s">
        <v>444</v>
      </c>
    </row>
    <row r="2" spans="1:13">
      <c r="A2" s="29">
        <v>1</v>
      </c>
      <c r="B2" s="94">
        <v>46024</v>
      </c>
      <c r="C2" s="94">
        <v>46031</v>
      </c>
      <c r="D2" s="28" t="s">
        <v>1130</v>
      </c>
      <c r="E2" s="28" t="s">
        <v>1131</v>
      </c>
      <c r="F2" s="28" t="s">
        <v>1132</v>
      </c>
      <c r="G2" s="28" t="s">
        <v>876</v>
      </c>
      <c r="H2" s="28">
        <v>5</v>
      </c>
      <c r="I2" s="30">
        <v>220000</v>
      </c>
      <c r="J2" s="30">
        <v>1182500</v>
      </c>
      <c r="K2" s="28"/>
      <c r="L2" s="28"/>
      <c r="M2" s="28"/>
    </row>
    <row r="3" spans="1:13">
      <c r="A3" s="29">
        <v>2</v>
      </c>
      <c r="B3" s="94">
        <v>46024</v>
      </c>
      <c r="C3" s="94">
        <v>46031</v>
      </c>
      <c r="D3" s="28" t="s">
        <v>1133</v>
      </c>
      <c r="E3" s="28" t="s">
        <v>1112</v>
      </c>
      <c r="F3" s="28" t="s">
        <v>694</v>
      </c>
      <c r="G3" s="28" t="s">
        <v>537</v>
      </c>
      <c r="H3" s="28">
        <v>8</v>
      </c>
      <c r="I3" s="30">
        <v>219600</v>
      </c>
      <c r="J3" s="30">
        <v>1888560</v>
      </c>
      <c r="K3" s="28"/>
      <c r="L3" s="28"/>
      <c r="M3" s="28"/>
    </row>
    <row r="4" spans="1:13">
      <c r="A4" s="29">
        <v>3</v>
      </c>
      <c r="B4" s="94">
        <v>46024</v>
      </c>
      <c r="C4" s="94">
        <v>46031</v>
      </c>
      <c r="D4" s="28" t="s">
        <v>1134</v>
      </c>
      <c r="E4" s="28" t="s">
        <v>817</v>
      </c>
      <c r="F4" s="28" t="s">
        <v>1104</v>
      </c>
      <c r="G4" s="28" t="s">
        <v>631</v>
      </c>
      <c r="H4" s="28">
        <v>1</v>
      </c>
      <c r="I4" s="30"/>
      <c r="J4" s="30">
        <v>7076750</v>
      </c>
      <c r="K4" s="28"/>
      <c r="L4" s="28"/>
      <c r="M4" s="28"/>
    </row>
    <row r="5" spans="1:13">
      <c r="A5" s="29">
        <v>4</v>
      </c>
      <c r="B5" s="94">
        <v>46031</v>
      </c>
      <c r="C5" s="94">
        <v>46038</v>
      </c>
      <c r="D5" s="28" t="s">
        <v>1135</v>
      </c>
      <c r="E5" s="28" t="s">
        <v>1136</v>
      </c>
      <c r="F5" s="28" t="s">
        <v>1019</v>
      </c>
      <c r="G5" s="28" t="s">
        <v>468</v>
      </c>
      <c r="H5" s="28">
        <v>1</v>
      </c>
      <c r="I5" s="30">
        <v>1750000</v>
      </c>
      <c r="J5" s="30">
        <v>1881250</v>
      </c>
      <c r="K5" s="28"/>
      <c r="L5" s="28"/>
      <c r="M5" s="28"/>
    </row>
    <row r="6" spans="1:13">
      <c r="A6" s="29">
        <v>5</v>
      </c>
      <c r="B6" s="94">
        <v>46028</v>
      </c>
      <c r="C6" s="94">
        <v>46035</v>
      </c>
      <c r="D6" s="28" t="s">
        <v>1137</v>
      </c>
      <c r="E6" s="28" t="s">
        <v>575</v>
      </c>
      <c r="F6" s="28" t="s">
        <v>1138</v>
      </c>
      <c r="G6" s="28" t="s">
        <v>876</v>
      </c>
      <c r="H6" s="28">
        <v>1</v>
      </c>
      <c r="I6" s="30">
        <v>220000</v>
      </c>
      <c r="J6" s="30">
        <v>236500</v>
      </c>
      <c r="K6" s="28"/>
      <c r="L6" s="28"/>
      <c r="M6" s="28"/>
    </row>
    <row r="7" spans="1:13">
      <c r="A7" s="29">
        <v>6</v>
      </c>
      <c r="B7" s="94">
        <v>46028</v>
      </c>
      <c r="C7" s="94">
        <v>46035</v>
      </c>
      <c r="D7" s="28" t="s">
        <v>1139</v>
      </c>
      <c r="E7" s="28" t="s">
        <v>1140</v>
      </c>
      <c r="F7" s="28" t="s">
        <v>1141</v>
      </c>
      <c r="G7" s="28" t="s">
        <v>462</v>
      </c>
      <c r="H7" s="28">
        <v>2</v>
      </c>
      <c r="I7" s="30">
        <v>160000</v>
      </c>
      <c r="J7" s="30">
        <v>344000</v>
      </c>
      <c r="K7" s="28"/>
      <c r="L7" s="28"/>
      <c r="M7" s="28"/>
    </row>
    <row r="8" spans="1:13">
      <c r="A8" s="29">
        <v>7</v>
      </c>
      <c r="B8" s="94">
        <v>46028</v>
      </c>
      <c r="C8" s="94">
        <v>46050</v>
      </c>
      <c r="D8" s="28" t="s">
        <v>1142</v>
      </c>
      <c r="E8" s="28" t="s">
        <v>31</v>
      </c>
      <c r="F8" s="28" t="s">
        <v>1143</v>
      </c>
      <c r="G8" s="28" t="s">
        <v>1144</v>
      </c>
      <c r="H8" s="28">
        <v>6000</v>
      </c>
      <c r="I8" s="30">
        <v>1443</v>
      </c>
      <c r="J8" s="30">
        <v>9307350</v>
      </c>
      <c r="K8" s="28"/>
      <c r="L8" s="28"/>
      <c r="M8" s="28"/>
    </row>
    <row r="9" spans="1:13">
      <c r="A9" s="105">
        <v>8</v>
      </c>
      <c r="B9" s="111">
        <v>46031</v>
      </c>
      <c r="C9" s="111">
        <v>46038</v>
      </c>
      <c r="D9" s="112" t="s">
        <v>1145</v>
      </c>
      <c r="E9" s="28" t="s">
        <v>1146</v>
      </c>
      <c r="F9" s="95" t="s">
        <v>1147</v>
      </c>
      <c r="G9" s="105" t="s">
        <v>535</v>
      </c>
      <c r="H9" s="95">
        <v>1</v>
      </c>
      <c r="I9" s="96">
        <v>330666</v>
      </c>
      <c r="J9" s="30">
        <v>392093.58</v>
      </c>
      <c r="K9" s="28"/>
      <c r="L9" s="28"/>
      <c r="M9" s="28"/>
    </row>
    <row r="10" spans="1:13">
      <c r="A10" s="106"/>
      <c r="B10" s="111"/>
      <c r="C10" s="111"/>
      <c r="D10" s="112"/>
      <c r="E10" s="112" t="s">
        <v>1148</v>
      </c>
      <c r="F10" s="95" t="s">
        <v>1149</v>
      </c>
      <c r="G10" s="106"/>
      <c r="H10" s="95">
        <v>1</v>
      </c>
      <c r="I10" s="96">
        <v>598500</v>
      </c>
      <c r="J10" s="30">
        <v>709682.92</v>
      </c>
      <c r="K10" s="28"/>
      <c r="L10" s="28"/>
      <c r="M10" s="28"/>
    </row>
    <row r="11" spans="1:13">
      <c r="A11" s="106"/>
      <c r="B11" s="111"/>
      <c r="C11" s="111"/>
      <c r="D11" s="112"/>
      <c r="E11" s="112"/>
      <c r="F11" s="95" t="s">
        <v>1150</v>
      </c>
      <c r="G11" s="106"/>
      <c r="H11" s="95">
        <v>1</v>
      </c>
      <c r="I11" s="96">
        <v>285000</v>
      </c>
      <c r="J11" s="30">
        <v>337944.25</v>
      </c>
      <c r="K11" s="28"/>
      <c r="L11" s="28"/>
      <c r="M11" s="28"/>
    </row>
    <row r="12" spans="1:13">
      <c r="A12" s="107"/>
      <c r="B12" s="111"/>
      <c r="C12" s="111"/>
      <c r="D12" s="112"/>
      <c r="E12" s="112"/>
      <c r="F12" s="95" t="s">
        <v>1151</v>
      </c>
      <c r="G12" s="107"/>
      <c r="H12" s="95">
        <v>1</v>
      </c>
      <c r="I12" s="96">
        <v>140000</v>
      </c>
      <c r="J12" s="30">
        <v>166007.70000000001</v>
      </c>
      <c r="K12" s="28"/>
      <c r="L12" s="28"/>
      <c r="M12" s="28"/>
    </row>
    <row r="13" spans="1:13">
      <c r="A13" s="29">
        <v>9</v>
      </c>
      <c r="B13" s="97">
        <v>46031</v>
      </c>
      <c r="C13" s="97">
        <v>46038</v>
      </c>
      <c r="D13" s="28" t="s">
        <v>1152</v>
      </c>
      <c r="E13" s="28" t="s">
        <v>1153</v>
      </c>
      <c r="F13" s="28" t="s">
        <v>1154</v>
      </c>
      <c r="G13" s="28" t="s">
        <v>544</v>
      </c>
      <c r="H13" s="28">
        <v>1</v>
      </c>
      <c r="I13" s="30">
        <v>1767441.86</v>
      </c>
      <c r="J13" s="30">
        <v>1900000</v>
      </c>
      <c r="K13" s="28"/>
      <c r="L13" s="28"/>
      <c r="M13" s="28"/>
    </row>
    <row r="14" spans="1:13">
      <c r="A14" s="29">
        <v>10</v>
      </c>
      <c r="B14" s="97">
        <v>46034</v>
      </c>
      <c r="C14" s="97">
        <v>46041</v>
      </c>
      <c r="D14" s="28" t="s">
        <v>1155</v>
      </c>
      <c r="E14" s="28" t="s">
        <v>1153</v>
      </c>
      <c r="F14" s="28" t="s">
        <v>1156</v>
      </c>
      <c r="G14" s="28" t="s">
        <v>544</v>
      </c>
      <c r="H14" s="28">
        <v>100</v>
      </c>
      <c r="I14" s="30">
        <v>18000</v>
      </c>
      <c r="J14" s="30">
        <v>1935000</v>
      </c>
      <c r="K14" s="28"/>
      <c r="L14" s="28"/>
      <c r="M14" s="28"/>
    </row>
    <row r="15" spans="1:13">
      <c r="A15" s="29">
        <v>11</v>
      </c>
      <c r="B15" s="97">
        <v>46035</v>
      </c>
      <c r="C15" s="97">
        <v>46076</v>
      </c>
      <c r="D15" s="28" t="s">
        <v>1157</v>
      </c>
      <c r="E15" t="s">
        <v>31</v>
      </c>
      <c r="F15" s="28" t="s">
        <v>1158</v>
      </c>
      <c r="G15" s="28" t="s">
        <v>666</v>
      </c>
      <c r="H15" s="28" t="s">
        <v>69</v>
      </c>
      <c r="I15" s="30"/>
      <c r="J15" s="30"/>
      <c r="K15" s="28"/>
      <c r="L15" s="98">
        <v>37429.26</v>
      </c>
      <c r="M15" s="28"/>
    </row>
    <row r="16" spans="1:13">
      <c r="A16" s="29">
        <v>12</v>
      </c>
      <c r="B16" s="97">
        <v>46034</v>
      </c>
      <c r="C16" s="97">
        <v>46041</v>
      </c>
      <c r="D16" s="28" t="s">
        <v>1159</v>
      </c>
      <c r="E16" s="28" t="s">
        <v>1160</v>
      </c>
      <c r="F16" s="28" t="s">
        <v>1161</v>
      </c>
      <c r="G16" s="28" t="s">
        <v>1162</v>
      </c>
      <c r="H16" s="28">
        <v>1</v>
      </c>
      <c r="I16" s="30">
        <v>240000</v>
      </c>
      <c r="J16" s="30">
        <v>258000</v>
      </c>
      <c r="K16" s="28"/>
      <c r="L16" s="28"/>
      <c r="M16" s="28"/>
    </row>
    <row r="17" spans="1:13">
      <c r="A17" s="105">
        <v>13</v>
      </c>
      <c r="B17" s="108">
        <v>46036</v>
      </c>
      <c r="C17" s="108">
        <v>46043</v>
      </c>
      <c r="D17" s="105" t="s">
        <v>1163</v>
      </c>
      <c r="E17" s="105" t="s">
        <v>1153</v>
      </c>
      <c r="F17" s="87" t="s">
        <v>1164</v>
      </c>
      <c r="G17" s="105" t="s">
        <v>544</v>
      </c>
      <c r="H17" s="87">
        <v>134</v>
      </c>
      <c r="I17" s="89">
        <v>2000</v>
      </c>
      <c r="J17" s="79">
        <v>326286.53000000003</v>
      </c>
      <c r="K17" s="28"/>
      <c r="L17" s="28"/>
      <c r="M17" s="28"/>
    </row>
    <row r="18" spans="1:13">
      <c r="A18" s="107"/>
      <c r="B18" s="110"/>
      <c r="C18" s="110"/>
      <c r="D18" s="107"/>
      <c r="E18" s="107"/>
      <c r="F18" s="88" t="s">
        <v>1165</v>
      </c>
      <c r="G18" s="107"/>
      <c r="H18" s="88">
        <v>28</v>
      </c>
      <c r="I18" s="90">
        <v>18000</v>
      </c>
      <c r="J18" s="99">
        <v>613613.47</v>
      </c>
      <c r="K18" s="28"/>
      <c r="L18" s="28"/>
      <c r="M18" s="28"/>
    </row>
    <row r="19" spans="1:13">
      <c r="A19" s="29">
        <v>14</v>
      </c>
      <c r="B19" s="97">
        <v>46042</v>
      </c>
      <c r="C19" s="97">
        <v>46049</v>
      </c>
      <c r="D19" s="28" t="s">
        <v>1166</v>
      </c>
      <c r="E19" s="28" t="s">
        <v>1167</v>
      </c>
      <c r="F19" s="28" t="s">
        <v>1168</v>
      </c>
      <c r="G19" s="28" t="s">
        <v>537</v>
      </c>
      <c r="H19" s="28">
        <v>1</v>
      </c>
      <c r="I19" s="30">
        <v>260000</v>
      </c>
      <c r="J19" s="30">
        <v>279500</v>
      </c>
      <c r="K19" s="28"/>
      <c r="L19" s="28"/>
      <c r="M19" s="28"/>
    </row>
    <row r="20" spans="1:13">
      <c r="A20" s="105">
        <v>15</v>
      </c>
      <c r="B20" s="108">
        <v>46045</v>
      </c>
      <c r="C20" s="108">
        <v>46052</v>
      </c>
      <c r="D20" s="105" t="s">
        <v>1169</v>
      </c>
      <c r="E20" s="105" t="s">
        <v>1170</v>
      </c>
      <c r="F20" s="28" t="s">
        <v>1171</v>
      </c>
      <c r="G20" s="105" t="s">
        <v>511</v>
      </c>
      <c r="H20" s="28">
        <v>1</v>
      </c>
      <c r="I20" s="100">
        <v>4020000</v>
      </c>
      <c r="J20" s="100">
        <v>4535329.79</v>
      </c>
      <c r="K20" s="28"/>
      <c r="L20" s="28"/>
      <c r="M20" s="28"/>
    </row>
    <row r="21" spans="1:13">
      <c r="A21" s="106"/>
      <c r="B21" s="109"/>
      <c r="C21" s="109"/>
      <c r="D21" s="106"/>
      <c r="E21" s="106"/>
      <c r="F21" s="28" t="s">
        <v>1172</v>
      </c>
      <c r="G21" s="106"/>
      <c r="H21" s="28">
        <v>20</v>
      </c>
      <c r="I21" s="101">
        <v>115000</v>
      </c>
      <c r="J21" s="30">
        <v>2594840.4300000002</v>
      </c>
      <c r="K21" s="28"/>
      <c r="L21" s="28"/>
      <c r="M21" s="28"/>
    </row>
    <row r="22" spans="1:13">
      <c r="A22" s="106"/>
      <c r="B22" s="110"/>
      <c r="C22" s="110"/>
      <c r="D22" s="107"/>
      <c r="E22" s="107"/>
      <c r="F22" s="28" t="s">
        <v>1173</v>
      </c>
      <c r="G22" s="107"/>
      <c r="H22" s="28">
        <v>1</v>
      </c>
      <c r="I22" s="99">
        <v>1200000</v>
      </c>
      <c r="J22" s="99">
        <v>1353829.78</v>
      </c>
      <c r="K22" s="28"/>
      <c r="L22" s="28"/>
      <c r="M22" s="28"/>
    </row>
    <row r="23" spans="1:13">
      <c r="A23" s="107"/>
      <c r="B23" s="28"/>
      <c r="C23" s="28"/>
      <c r="D23" s="28" t="s">
        <v>1174</v>
      </c>
      <c r="E23" s="28"/>
      <c r="F23" s="28"/>
      <c r="G23" s="28"/>
      <c r="H23" s="28"/>
      <c r="I23" s="30"/>
      <c r="J23" s="30"/>
      <c r="K23" s="28"/>
      <c r="L23" s="28"/>
      <c r="M23" s="28"/>
    </row>
    <row r="24" spans="1:13">
      <c r="A24" s="29">
        <v>16</v>
      </c>
      <c r="B24" s="28"/>
      <c r="C24" s="28"/>
      <c r="D24" s="28" t="s">
        <v>1175</v>
      </c>
      <c r="E24" s="28"/>
      <c r="F24" s="28"/>
      <c r="G24" s="28"/>
      <c r="H24" s="28"/>
      <c r="I24" s="30"/>
      <c r="J24" s="30"/>
      <c r="K24" s="28"/>
      <c r="L24" s="28"/>
      <c r="M24" s="28"/>
    </row>
    <row r="25" spans="1:13">
      <c r="A25" s="29"/>
      <c r="B25" s="28"/>
      <c r="C25" s="28"/>
      <c r="D25" s="28" t="s">
        <v>1176</v>
      </c>
      <c r="E25" s="28"/>
      <c r="F25" s="28"/>
      <c r="G25" s="28"/>
      <c r="H25" s="28"/>
      <c r="I25" s="30"/>
      <c r="J25" s="30"/>
      <c r="K25" s="28"/>
      <c r="L25" s="28"/>
      <c r="M25" s="28"/>
    </row>
    <row r="26" spans="1:13">
      <c r="A26" s="29"/>
      <c r="B26" s="28"/>
      <c r="C26" s="28"/>
      <c r="D26" s="28"/>
      <c r="E26" s="28"/>
      <c r="F26" s="28"/>
      <c r="G26" s="28"/>
      <c r="H26" s="28"/>
      <c r="I26" s="30"/>
      <c r="J26" s="30"/>
      <c r="K26" s="28"/>
      <c r="L26" s="28"/>
      <c r="M26" s="28"/>
    </row>
    <row r="27" spans="1:13">
      <c r="A27" s="29"/>
      <c r="B27" s="28"/>
      <c r="C27" s="28"/>
      <c r="D27" s="28"/>
      <c r="E27" s="28"/>
      <c r="F27" s="28"/>
      <c r="G27" s="28"/>
      <c r="H27" s="28"/>
      <c r="I27" s="30"/>
      <c r="J27" s="30"/>
      <c r="K27" s="28"/>
      <c r="L27" s="28"/>
      <c r="M27" s="28"/>
    </row>
    <row r="28" spans="1:13">
      <c r="A28" s="29"/>
      <c r="B28" s="28"/>
      <c r="C28" s="28"/>
      <c r="D28" s="28"/>
      <c r="E28" s="28"/>
      <c r="F28" s="28"/>
      <c r="G28" s="28"/>
      <c r="H28" s="28"/>
      <c r="I28" s="30"/>
      <c r="J28" s="30"/>
      <c r="K28" s="28"/>
      <c r="L28" s="28"/>
      <c r="M28" s="28"/>
    </row>
    <row r="29" spans="1:13">
      <c r="A29" s="29"/>
      <c r="B29" s="28"/>
      <c r="C29" s="28"/>
      <c r="D29" s="28"/>
      <c r="E29" s="28"/>
      <c r="F29" s="28"/>
      <c r="G29" s="28"/>
      <c r="H29" s="28"/>
      <c r="I29" s="30"/>
      <c r="J29" s="30"/>
      <c r="K29" s="28"/>
      <c r="L29" s="28"/>
      <c r="M29" s="28"/>
    </row>
    <row r="30" spans="1:13">
      <c r="A30" s="29"/>
      <c r="B30" s="28"/>
      <c r="C30" s="28"/>
      <c r="D30" s="28"/>
      <c r="E30" s="28"/>
      <c r="F30" s="28"/>
      <c r="G30" s="28"/>
      <c r="H30" s="28"/>
      <c r="I30" s="30"/>
      <c r="J30" s="30"/>
      <c r="K30" s="28"/>
      <c r="L30" s="28"/>
      <c r="M30" s="28"/>
    </row>
    <row r="31" spans="1:13">
      <c r="A31" s="29"/>
      <c r="B31" s="28"/>
      <c r="C31" s="28"/>
      <c r="D31" s="28"/>
      <c r="E31" s="28"/>
      <c r="F31" s="28"/>
      <c r="G31" s="28"/>
      <c r="H31" s="28"/>
      <c r="I31" s="30"/>
      <c r="J31" s="30"/>
      <c r="K31" s="28"/>
      <c r="L31" s="28"/>
      <c r="M31" s="28"/>
    </row>
    <row r="32" spans="1:13">
      <c r="A32" s="29"/>
      <c r="B32" s="28"/>
      <c r="C32" s="28"/>
      <c r="D32" s="28"/>
      <c r="E32" s="28"/>
      <c r="F32" s="28"/>
      <c r="G32" s="28"/>
      <c r="H32" s="28"/>
      <c r="I32" s="30"/>
      <c r="J32" s="30"/>
      <c r="K32" s="28"/>
      <c r="L32" s="28"/>
      <c r="M32" s="28"/>
    </row>
    <row r="33" spans="1:13">
      <c r="A33" s="29"/>
      <c r="B33" s="28"/>
      <c r="C33" s="28"/>
      <c r="D33" s="28"/>
      <c r="E33" s="28"/>
      <c r="F33" s="28"/>
      <c r="G33" s="28"/>
      <c r="H33" s="28"/>
      <c r="I33" s="30"/>
      <c r="J33" s="30"/>
      <c r="K33" s="28"/>
      <c r="L33" s="28"/>
      <c r="M33" s="28"/>
    </row>
    <row r="34" spans="1:13">
      <c r="A34" s="29"/>
      <c r="B34" s="28"/>
      <c r="C34" s="28"/>
      <c r="D34" s="28"/>
      <c r="E34" s="28"/>
      <c r="F34" s="28"/>
      <c r="G34" s="28"/>
      <c r="H34" s="28"/>
      <c r="I34" s="30"/>
      <c r="J34" s="30"/>
      <c r="K34" s="28"/>
      <c r="L34" s="28"/>
      <c r="M34" s="28"/>
    </row>
    <row r="35" spans="1:13">
      <c r="A35" s="29"/>
      <c r="B35" s="28"/>
      <c r="C35" s="28"/>
      <c r="D35" s="28"/>
      <c r="E35" s="28"/>
      <c r="F35" s="28"/>
      <c r="G35" s="28"/>
      <c r="H35" s="28"/>
      <c r="I35" s="30"/>
      <c r="J35" s="30"/>
      <c r="K35" s="28"/>
      <c r="L35" s="28"/>
      <c r="M35" s="28"/>
    </row>
    <row r="36" spans="1:13">
      <c r="A36" s="29"/>
      <c r="B36" s="28"/>
      <c r="C36" s="28"/>
      <c r="D36" s="28"/>
      <c r="E36" s="28"/>
      <c r="F36" s="28"/>
      <c r="G36" s="28"/>
      <c r="H36" s="28"/>
      <c r="I36" s="30"/>
      <c r="J36" s="30"/>
      <c r="K36" s="28"/>
      <c r="L36" s="28"/>
      <c r="M36" s="28"/>
    </row>
    <row r="37" spans="1:13">
      <c r="A37" s="29"/>
      <c r="B37" s="28"/>
      <c r="C37" s="28"/>
      <c r="D37" s="28"/>
      <c r="E37" s="28"/>
      <c r="F37" s="28"/>
      <c r="G37" s="28"/>
      <c r="H37" s="28"/>
      <c r="I37" s="30"/>
      <c r="J37" s="30"/>
      <c r="K37" s="28"/>
      <c r="L37" s="28"/>
      <c r="M37" s="28"/>
    </row>
    <row r="38" spans="1:13">
      <c r="A38" s="29"/>
      <c r="B38" s="28"/>
      <c r="C38" s="28"/>
      <c r="D38" s="28"/>
      <c r="E38" s="28"/>
      <c r="F38" s="28"/>
      <c r="G38" s="28"/>
      <c r="H38" s="28"/>
      <c r="I38" s="30"/>
      <c r="J38" s="30"/>
      <c r="K38" s="28"/>
      <c r="L38" s="28"/>
      <c r="M38" s="28"/>
    </row>
    <row r="39" spans="1:13">
      <c r="A39" s="29"/>
      <c r="B39" s="28"/>
      <c r="C39" s="28"/>
      <c r="D39" s="28"/>
      <c r="E39" s="28"/>
      <c r="F39" s="28"/>
      <c r="G39" s="28"/>
      <c r="H39" s="28"/>
      <c r="I39" s="30"/>
      <c r="J39" s="30"/>
      <c r="K39" s="28"/>
      <c r="L39" s="28"/>
      <c r="M39" s="28"/>
    </row>
    <row r="40" spans="1:13">
      <c r="A40" s="29"/>
      <c r="B40" s="28"/>
      <c r="C40" s="28"/>
      <c r="D40" s="28"/>
      <c r="E40" s="28"/>
      <c r="F40" s="28"/>
      <c r="G40" s="28"/>
      <c r="H40" s="28"/>
      <c r="I40" s="30"/>
      <c r="J40" s="30"/>
      <c r="K40" s="28"/>
      <c r="L40" s="28"/>
      <c r="M40" s="28"/>
    </row>
    <row r="41" spans="1:13">
      <c r="A41" s="29"/>
      <c r="B41" s="28"/>
      <c r="C41" s="28"/>
      <c r="D41" s="28"/>
      <c r="E41" s="28"/>
      <c r="F41" s="28"/>
      <c r="G41" s="28"/>
      <c r="H41" s="28"/>
      <c r="I41" s="30"/>
      <c r="J41" s="30"/>
      <c r="K41" s="28"/>
      <c r="L41" s="28"/>
      <c r="M41" s="28"/>
    </row>
    <row r="42" spans="1:13">
      <c r="A42" s="29"/>
      <c r="B42" s="28"/>
      <c r="C42" s="28"/>
      <c r="D42" s="28"/>
      <c r="E42" s="28"/>
      <c r="F42" s="28"/>
      <c r="G42" s="28"/>
      <c r="H42" s="28"/>
      <c r="I42" s="30"/>
      <c r="J42" s="30"/>
      <c r="K42" s="28"/>
      <c r="L42" s="28"/>
      <c r="M42" s="28"/>
    </row>
    <row r="43" spans="1:13">
      <c r="A43" s="29"/>
      <c r="B43" s="28"/>
      <c r="C43" s="28"/>
      <c r="D43" s="28"/>
      <c r="E43" s="28"/>
      <c r="F43" s="28"/>
      <c r="G43" s="28"/>
      <c r="H43" s="28"/>
      <c r="I43" s="30"/>
      <c r="J43" s="30"/>
      <c r="K43" s="28"/>
      <c r="L43" s="28"/>
      <c r="M43" s="28"/>
    </row>
    <row r="44" spans="1:13">
      <c r="A44" s="29"/>
      <c r="B44" s="28"/>
      <c r="C44" s="28"/>
      <c r="D44" s="28"/>
      <c r="E44" s="28"/>
      <c r="F44" s="28"/>
      <c r="G44" s="28"/>
      <c r="H44" s="28"/>
      <c r="I44" s="30"/>
      <c r="J44" s="30"/>
      <c r="K44" s="28"/>
      <c r="L44" s="28"/>
      <c r="M44" s="28"/>
    </row>
    <row r="45" spans="1:13">
      <c r="A45" s="29"/>
      <c r="B45" s="28"/>
      <c r="C45" s="28"/>
      <c r="D45" s="28"/>
      <c r="E45" s="28"/>
      <c r="F45" s="28"/>
      <c r="G45" s="28"/>
      <c r="H45" s="28"/>
      <c r="I45" s="30"/>
      <c r="J45" s="30"/>
      <c r="K45" s="28"/>
      <c r="L45" s="28"/>
      <c r="M45" s="28"/>
    </row>
    <row r="46" spans="1:13">
      <c r="A46" s="29"/>
      <c r="B46" s="28"/>
      <c r="C46" s="28"/>
      <c r="D46" s="28"/>
      <c r="E46" s="28"/>
      <c r="F46" s="28"/>
      <c r="G46" s="28"/>
      <c r="H46" s="28"/>
      <c r="I46" s="30"/>
      <c r="J46" s="30"/>
      <c r="K46" s="28"/>
      <c r="L46" s="28"/>
      <c r="M46" s="28"/>
    </row>
    <row r="47" spans="1:13">
      <c r="A47" s="29"/>
      <c r="B47" s="28"/>
      <c r="C47" s="28"/>
      <c r="D47" s="28"/>
      <c r="E47" s="28"/>
      <c r="F47" s="28"/>
      <c r="G47" s="28"/>
      <c r="H47" s="28"/>
      <c r="I47" s="30"/>
      <c r="J47" s="30"/>
      <c r="K47" s="28"/>
      <c r="L47" s="28"/>
      <c r="M47" s="28"/>
    </row>
    <row r="48" spans="1:13">
      <c r="A48" s="29"/>
      <c r="B48" s="28"/>
      <c r="C48" s="28"/>
      <c r="D48" s="28"/>
      <c r="E48" s="28"/>
      <c r="F48" s="28"/>
      <c r="G48" s="28"/>
      <c r="H48" s="28"/>
      <c r="I48" s="30"/>
      <c r="J48" s="30"/>
      <c r="K48" s="28"/>
      <c r="L48" s="28"/>
      <c r="M48" s="28"/>
    </row>
  </sheetData>
  <mergeCells count="18">
    <mergeCell ref="A9:A12"/>
    <mergeCell ref="E17:E18"/>
    <mergeCell ref="G17:G18"/>
    <mergeCell ref="A17:A18"/>
    <mergeCell ref="B17:B18"/>
    <mergeCell ref="C17:C18"/>
    <mergeCell ref="D17:D18"/>
    <mergeCell ref="G9:G12"/>
    <mergeCell ref="B9:B12"/>
    <mergeCell ref="C9:C12"/>
    <mergeCell ref="D9:D12"/>
    <mergeCell ref="E10:E12"/>
    <mergeCell ref="G20:G22"/>
    <mergeCell ref="A20:A23"/>
    <mergeCell ref="B20:B22"/>
    <mergeCell ref="C20:C22"/>
    <mergeCell ref="D20:D22"/>
    <mergeCell ref="E20:E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9fd8f-c08e-474e-9dfe-235df73f60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E1377DEDBB2A41AE9CEE0B9B3357FA" ma:contentTypeVersion="11" ma:contentTypeDescription="Create a new document." ma:contentTypeScope="" ma:versionID="768e61c47c1fea3470b0e5d757952ff0">
  <xsd:schema xmlns:xsd="http://www.w3.org/2001/XMLSchema" xmlns:xs="http://www.w3.org/2001/XMLSchema" xmlns:p="http://schemas.microsoft.com/office/2006/metadata/properties" xmlns:ns3="8779fd8f-c08e-474e-9dfe-235df73f6032" targetNamespace="http://schemas.microsoft.com/office/2006/metadata/properties" ma:root="true" ma:fieldsID="a132ed0a02236708f8f0aeab2a955084" ns3:_="">
    <xsd:import namespace="8779fd8f-c08e-474e-9dfe-235df73f60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fd8f-c08e-474e-9dfe-235df73f60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3E76F3-E611-4152-84D3-CBA2F513D969}"/>
</file>

<file path=customXml/itemProps2.xml><?xml version="1.0" encoding="utf-8"?>
<ds:datastoreItem xmlns:ds="http://schemas.openxmlformats.org/officeDocument/2006/customXml" ds:itemID="{E6C707F8-FE4E-4002-B85B-7430FFE982A2}"/>
</file>

<file path=customXml/itemProps3.xml><?xml version="1.0" encoding="utf-8"?>
<ds:datastoreItem xmlns:ds="http://schemas.openxmlformats.org/officeDocument/2006/customXml" ds:itemID="{EEA56C28-4CA3-4F04-914A-3090AA9C7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Damola Dada</dc:creator>
  <cp:keywords/>
  <dc:description/>
  <cp:lastModifiedBy/>
  <cp:revision/>
  <dcterms:created xsi:type="dcterms:W3CDTF">2025-01-26T19:51:27Z</dcterms:created>
  <dcterms:modified xsi:type="dcterms:W3CDTF">2026-01-23T14:27:10Z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0x0101009DE1377DEDBB2A41AE9CEE0B9B3357FA</vt:lpwstr>
  </property>
</Properties>
</file>