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USUF\Downloads\RE_ Review of EBR Power BI Dashboard\"/>
    </mc:Choice>
  </mc:AlternateContent>
  <xr:revisionPtr revIDLastSave="0" documentId="13_ncr:1_{C4CE8FB9-9462-4285-8016-CE66321C9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TD" sheetId="1" r:id="rId1"/>
  </sheets>
  <externalReferences>
    <externalReference r:id="rId2"/>
  </externalReferences>
  <definedNames>
    <definedName name="_xlnm.Print_Area" localSheetId="0">YTD!$A$1:$B$5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3" i="1" l="1"/>
  <c r="L64" i="1"/>
  <c r="L65" i="1"/>
  <c r="L66" i="1"/>
  <c r="L67" i="1"/>
  <c r="L68" i="1"/>
  <c r="L69" i="1"/>
  <c r="L70" i="1"/>
  <c r="L71" i="1"/>
  <c r="L72" i="1"/>
  <c r="L63" i="1"/>
  <c r="L6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3" i="1"/>
</calcChain>
</file>

<file path=xl/sharedStrings.xml><?xml version="1.0" encoding="utf-8"?>
<sst xmlns="http://schemas.openxmlformats.org/spreadsheetml/2006/main" count="97" uniqueCount="84">
  <si>
    <t>GL CODE</t>
  </si>
  <si>
    <t>STAMPS &amp; POSTAGES</t>
  </si>
  <si>
    <t>TELEPHONE EXPS</t>
  </si>
  <si>
    <t>INSURANCE - COMPUTER</t>
  </si>
  <si>
    <t>INSURANCE - THEFT &amp; BURGLARY</t>
  </si>
  <si>
    <t>INSURANCE - WORKMEN COMPENSATION</t>
  </si>
  <si>
    <t>GENERATOR DIESEL OFFICE</t>
  </si>
  <si>
    <t>GENERATOR DIESEL RESIDENCE</t>
  </si>
  <si>
    <t>REP &amp; MAINT. VEHICLE OFFICE</t>
  </si>
  <si>
    <t>REP &amp; MAINT. VEHICLE STATUS</t>
  </si>
  <si>
    <t>REP. &amp; MAINT. - MICR</t>
  </si>
  <si>
    <t>REPAIRS &amp; MAINT. - M/CYCLE</t>
  </si>
  <si>
    <t>REPAIRS &amp; MAINTENANCE</t>
  </si>
  <si>
    <t>VEHICLE FUELING OFFICE</t>
  </si>
  <si>
    <t>VEHICLE FUELING STATUS</t>
  </si>
  <si>
    <t>VEHICLE MAINTENANCE</t>
  </si>
  <si>
    <t>TAXI FARES</t>
  </si>
  <si>
    <t>COMPUTER CONSUMABLES</t>
  </si>
  <si>
    <t>OTHER STATIONERY</t>
  </si>
  <si>
    <t>PRE PRINTED STATIONERY</t>
  </si>
  <si>
    <t>SATELLITE CABLE TV SUBSCRIPTION</t>
  </si>
  <si>
    <t>UNIFORMS</t>
  </si>
  <si>
    <t>STATUS DRIVER SUBSIDY EXPENSE</t>
  </si>
  <si>
    <t>SECURITY &amp; GUARDS EXPENSES</t>
  </si>
  <si>
    <t>DRIVERS / DISPATCH</t>
  </si>
  <si>
    <t>CLEANING SERVICES</t>
  </si>
  <si>
    <t>SERVICE CONTRACTS</t>
  </si>
  <si>
    <t>OTHER OUTSOURCED SERVICES</t>
  </si>
  <si>
    <t>UNCAPITALISED FIXED ASSETS</t>
  </si>
  <si>
    <t>OFFICE EXPS</t>
  </si>
  <si>
    <t>SMALL OFFICE ITEMS</t>
  </si>
  <si>
    <t>OFFICE PROVISIONS</t>
  </si>
  <si>
    <t>PAPERS AND PERIODICALS</t>
  </si>
  <si>
    <t>INFORMATION TECH SOFTWARES</t>
  </si>
  <si>
    <t>FREEHOLD LAND AND BUILDING</t>
  </si>
  <si>
    <t>LEASEHOLD IMPROVEMENT</t>
  </si>
  <si>
    <t>PLANT AND EQUIPMENT</t>
  </si>
  <si>
    <t>OFFICE FURNITURE</t>
  </si>
  <si>
    <t>HOUSE FURNITURE</t>
  </si>
  <si>
    <t>MOTOR VEHICLES</t>
  </si>
  <si>
    <t>INFORMATION TECH EQUIPMENTS</t>
  </si>
  <si>
    <t>FIXED ASSETS SUSPENSE ACCOUNT</t>
  </si>
  <si>
    <t>FOREIGN TRAVELS  LODGING &amp; PASSA</t>
  </si>
  <si>
    <t>TELEPHONE EXPS   OFFICE</t>
  </si>
  <si>
    <t>LOCAL TRAVELS  LODGING &amp; PASSAGE</t>
  </si>
  <si>
    <t>UTILITIES   ELECTRICITY</t>
  </si>
  <si>
    <t>UTILITIES   WATER RATES</t>
  </si>
  <si>
    <t>UTILITIES   CLEANING</t>
  </si>
  <si>
    <t>REP. &amp; MAINT.   GENERATOR OFFICE</t>
  </si>
  <si>
    <t>INSURANCE   OPERATIONAL</t>
  </si>
  <si>
    <t>INSURANCE   FIRE  BURGLARY  ETC.</t>
  </si>
  <si>
    <t>INSURANCE   MOTOR VEHICLES</t>
  </si>
  <si>
    <t>RATES   LGA &amp; OTHERS</t>
  </si>
  <si>
    <t>RENTS   OFFICE PREMISES</t>
  </si>
  <si>
    <t>RATES   PARKING LOT RENTALS</t>
  </si>
  <si>
    <t>RENTS   RESIDENTIAL PREMISES</t>
  </si>
  <si>
    <t>REP. &amp; MAINT.   COMPUTER EQUIPME</t>
  </si>
  <si>
    <t>REP. &amp; MAINT.   OFF. EQUIP. &amp; FI</t>
  </si>
  <si>
    <t>REP. &amp; MAINT.   OFFICE PREMISES</t>
  </si>
  <si>
    <t>REP. &amp; MAINT   RESIDENTIAL PREMI</t>
  </si>
  <si>
    <t>REP &amp;  MAINT.GENERATOR RESIDENCE</t>
  </si>
  <si>
    <t>VEH. MAINT.   LICENSE &amp; OTHERS</t>
  </si>
  <si>
    <t>OFFICE RENOVATION EXPENSES</t>
  </si>
  <si>
    <t>FLEET OUTSOURCING EXPENSE</t>
  </si>
  <si>
    <t>UTILITIES ELECTRICITY (PAAS)</t>
  </si>
  <si>
    <t>RATES   EQUIPMENT RENTALS</t>
  </si>
  <si>
    <t>ADVANCE PAYMENTS   GENERAL</t>
  </si>
  <si>
    <t>GL DESCRIPTION</t>
  </si>
  <si>
    <t>OPERATING EXPENSE (OPEX)</t>
  </si>
  <si>
    <t>CAPITAL EXPENSE (CAPEX)</t>
  </si>
  <si>
    <t>JAN YTD 2025
₦</t>
  </si>
  <si>
    <t>FEB YTD 2025
₦</t>
  </si>
  <si>
    <t>MAR YTD 2025
₦</t>
  </si>
  <si>
    <t>APR YTD 2025
₦</t>
  </si>
  <si>
    <t>MAY YTD 2025
₦</t>
  </si>
  <si>
    <t>HOTEL &amp; RESTAURANT</t>
  </si>
  <si>
    <t>JUN YTD 2025
₦</t>
  </si>
  <si>
    <t>JUL YTD 2025
₦</t>
  </si>
  <si>
    <t>AUG YTD 2025
₦</t>
  </si>
  <si>
    <t>SEP YTD 2025
₦</t>
  </si>
  <si>
    <t>OCT YTD 2025
₦</t>
  </si>
  <si>
    <t>NOV YTD 2025
₦</t>
  </si>
  <si>
    <t>DEC YTD 2025
₦</t>
  </si>
  <si>
    <t>JAN YTD 2026
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</si>
</sst>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25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4" fontId="1" fillId="2" borderId="10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4" fontId="2" fillId="2" borderId="11" xfId="0" applyNumberFormat="1" applyFont="1" applyFill="1" applyBorder="1" applyAlignment="1">
      <alignment horizontal="right" vertical="center"/>
    </xf>
    <xf numFmtId="4" fontId="1" fillId="2" borderId="12" xfId="0" applyNumberFormat="1" applyFont="1" applyFill="1" applyBorder="1" applyAlignment="1">
      <alignment horizontal="right" vertical="center"/>
    </xf>
    <xf numFmtId="4" fontId="1" fillId="2" borderId="13" xfId="0" applyNumberFormat="1" applyFont="1" applyFill="1" applyBorder="1" applyAlignment="1">
      <alignment horizontal="right" vertical="center"/>
    </xf>
    <xf numFmtId="4" fontId="1" fillId="2" borderId="14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</cellXfs>
  <cellStyles count="3">
    <cellStyle name="Comma 3" xfId="2" xr:uid="{036EB4DD-7C09-4855-A1BE-34D38EF2ED4F}"/>
    <cellStyle name="Normal" xfId="0" builtinId="0"/>
    <cellStyle name="Normal 3" xfId="1" xr:uid="{EF173009-A1E2-4A3F-8D04-E214C9B53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abamije/OneDrive%20-%20polarisbanklimited.com/Desktop/FINANCIAL%20REPORTING/MANGEMENT%20ACCOUNT/INTERNAL%20MANAGEMENT%20ACCOUNTS/2025/OCTOBER/MGT%20ACCOUNT%20OCT%202025.xlsx" TargetMode="External"/><Relationship Id="rId1" Type="http://schemas.openxmlformats.org/officeDocument/2006/relationships/externalLinkPath" Target="/Users/tmabamije/OneDrive%20-%20polarisbanklimited.com/Desktop/FINANCIAL%20REPORTING/MANGEMENT%20ACCOUNT/INTERNAL%20MANAGEMENT%20ACCOUNTS/2025/OCTOBER/MGT%20ACCOUNT%20OC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GATIVE GLS"/>
      <sheetName val="TRIAL BALANCE"/>
      <sheetName val="FS BUDGET"/>
      <sheetName val="BUDGET BY GL-NEW"/>
      <sheetName val="BUDGET BY GL YTD-NEW"/>
      <sheetName val="GL CHANGES"/>
      <sheetName val="MAPPING"/>
      <sheetName val="CBS"/>
      <sheetName val="REPORT"/>
      <sheetName val="JOURNAL"/>
      <sheetName val="COA MOM"/>
      <sheetName val="COA YTD"/>
      <sheetName val="RATIO"/>
      <sheetName val="SOFP"/>
      <sheetName val="SOCI"/>
      <sheetName val="SOCI NOTES"/>
      <sheetName val="SOFP NOTES"/>
      <sheetName val="RATE"/>
      <sheetName val="OPERATING EXPENSE"/>
      <sheetName val="OTHER OPEX"/>
      <sheetName val="DEPOSIT"/>
      <sheetName val="CRR"/>
      <sheetName val="LOANS"/>
      <sheetName val="INTEREST INCOME"/>
      <sheetName val="INTEREST EXPENSE"/>
      <sheetName val="FEE INCOME"/>
      <sheetName val="FEE EXPENSE"/>
      <sheetName val="SECURITIES GAIN-LOSS"/>
      <sheetName val="GLOBAL TRADE"/>
      <sheetName val="OTHER EXPENSE"/>
      <sheetName val="STAFF EXP"/>
      <sheetName val="DEPRECIATION"/>
      <sheetName val="P &amp; L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G1" t="str">
            <v>JAN</v>
          </cell>
          <cell r="H1" t="str">
            <v>FEB</v>
          </cell>
          <cell r="I1" t="str">
            <v>MAR</v>
          </cell>
          <cell r="J1" t="str">
            <v>APR</v>
          </cell>
          <cell r="K1" t="str">
            <v>MAY</v>
          </cell>
          <cell r="L1" t="str">
            <v>JUNE</v>
          </cell>
          <cell r="M1" t="str">
            <v>JUL</v>
          </cell>
          <cell r="N1" t="str">
            <v>AUG</v>
          </cell>
          <cell r="O1" t="str">
            <v>SEPT</v>
          </cell>
          <cell r="P1" t="str">
            <v>OCT</v>
          </cell>
          <cell r="Q1" t="str">
            <v>NOV</v>
          </cell>
          <cell r="R1" t="str">
            <v>DEC</v>
          </cell>
          <cell r="S1" t="str">
            <v>ADJUSTED TB</v>
          </cell>
          <cell r="T1" t="str">
            <v>FINAL</v>
          </cell>
        </row>
        <row r="2">
          <cell r="C2" t="str">
            <v>Polaris Bank Limited, N</v>
          </cell>
          <cell r="D2" t="str">
            <v>igeria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C3" t="str">
            <v>** Consolidated Balance Shee</v>
          </cell>
          <cell r="D3" t="str">
            <v>t CBN **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 t="str">
            <v>As on :     31-OCT-2025</v>
          </cell>
          <cell r="E5" t="str">
            <v>Page   :   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 t="str">
            <v>User Id :</v>
          </cell>
          <cell r="B7" t="str">
            <v>SYSTEM</v>
          </cell>
          <cell r="C7" t="str">
            <v>Date 1 Time :     01-NOV-2025</v>
          </cell>
          <cell r="D7">
            <v>0.21625000000000003</v>
          </cell>
          <cell r="E7" t="str">
            <v>Module :   GL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----------</v>
          </cell>
          <cell r="B8" t="str">
            <v>----------------------------------------</v>
          </cell>
          <cell r="C8" t="str">
            <v>------------------------------</v>
          </cell>
          <cell r="D8" t="str">
            <v>------------------------------</v>
          </cell>
          <cell r="E8" t="str">
            <v>----------------------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A9" t="str">
            <v>GL Code</v>
          </cell>
          <cell r="B9" t="str">
            <v>Description</v>
          </cell>
          <cell r="C9" t="str">
            <v>LCY Amount</v>
          </cell>
          <cell r="D9" t="str">
            <v>FCY Amount (Lcy Eq)</v>
          </cell>
          <cell r="E9" t="str">
            <v>Total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----------</v>
          </cell>
          <cell r="B11" t="str">
            <v>----------------------------------------</v>
          </cell>
          <cell r="C11" t="str">
            <v>------------------------------</v>
          </cell>
          <cell r="D11" t="str">
            <v>------------------------------</v>
          </cell>
          <cell r="E11" t="str">
            <v>----------------------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 t="str">
            <v>Asset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110010100</v>
          </cell>
          <cell r="B14" t="str">
            <v>CASH IN TILLS</v>
          </cell>
          <cell r="C14">
            <v>-58.28</v>
          </cell>
          <cell r="D14">
            <v>0</v>
          </cell>
          <cell r="E14">
            <v>-58.28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-58.28</v>
          </cell>
          <cell r="T14">
            <v>-58.28</v>
          </cell>
        </row>
        <row r="15">
          <cell r="A15">
            <v>110010200</v>
          </cell>
          <cell r="B15" t="str">
            <v>OPERATING CASH   LOCAL RESERVES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110010300</v>
          </cell>
          <cell r="B16" t="str">
            <v>OPERATING CASH   LOCAL RESERVES</v>
          </cell>
          <cell r="C16">
            <v>5236236920.1599998</v>
          </cell>
          <cell r="D16">
            <v>1624531792.0899999</v>
          </cell>
          <cell r="E16">
            <v>6860768712.25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6860768712.25</v>
          </cell>
          <cell r="T16">
            <v>6860768712.25</v>
          </cell>
        </row>
        <row r="17">
          <cell r="A17">
            <v>110010400</v>
          </cell>
          <cell r="B17" t="str">
            <v>OPERATING CASH-CMU</v>
          </cell>
          <cell r="C17">
            <v>3450035721</v>
          </cell>
          <cell r="D17">
            <v>1616765187.24</v>
          </cell>
          <cell r="E17">
            <v>5066800908.2399998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5066800908.2399998</v>
          </cell>
          <cell r="T17">
            <v>5066800908.2399998</v>
          </cell>
        </row>
        <row r="18">
          <cell r="A18">
            <v>110010500</v>
          </cell>
          <cell r="B18" t="str">
            <v>OPERATING  CASH  ALAUSA</v>
          </cell>
          <cell r="C18">
            <v>408480972</v>
          </cell>
          <cell r="D18">
            <v>185892506.40000001</v>
          </cell>
          <cell r="E18">
            <v>594373478.39999998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594373478.39999998</v>
          </cell>
          <cell r="T18">
            <v>594373478.39999998</v>
          </cell>
        </row>
        <row r="19">
          <cell r="A19">
            <v>110010550</v>
          </cell>
          <cell r="B19" t="str">
            <v>OPERATING CASH-CMU FESTAC</v>
          </cell>
          <cell r="C19">
            <v>514215084</v>
          </cell>
          <cell r="D19">
            <v>91519570.5</v>
          </cell>
          <cell r="E19">
            <v>605734654.5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605734654.5</v>
          </cell>
          <cell r="T19">
            <v>605734654.5</v>
          </cell>
        </row>
        <row r="20">
          <cell r="A20">
            <v>110010600</v>
          </cell>
          <cell r="B20" t="str">
            <v>OPERATING CASH  LSDPC</v>
          </cell>
          <cell r="C20">
            <v>395989000</v>
          </cell>
          <cell r="D20">
            <v>1065673262.1799999</v>
          </cell>
          <cell r="E20">
            <v>1461662262.1800001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1461662262.1800001</v>
          </cell>
          <cell r="T20">
            <v>1461662262.1800001</v>
          </cell>
        </row>
        <row r="21">
          <cell r="A21">
            <v>110010650</v>
          </cell>
          <cell r="B21" t="str">
            <v>OPERATING CASH H/O (LCY) NGN</v>
          </cell>
          <cell r="C21">
            <v>0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110010700</v>
          </cell>
          <cell r="B22" t="str">
            <v>OPERATING CASH H/O (FCY) USD</v>
          </cell>
          <cell r="C22">
            <v>0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110010800</v>
          </cell>
          <cell r="B23" t="str">
            <v>OPERATING CASH H/O (FCY) GBP</v>
          </cell>
          <cell r="C23">
            <v>0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A24">
            <v>110010900</v>
          </cell>
          <cell r="B24" t="str">
            <v>OPERATING CASH H/O (FCY) EURO</v>
          </cell>
          <cell r="C24">
            <v>0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110010950</v>
          </cell>
          <cell r="B25" t="str">
            <v>OPERATING CASH H/O (FINCON)</v>
          </cell>
          <cell r="C25">
            <v>0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110011001</v>
          </cell>
          <cell r="B26" t="str">
            <v>OFFLINE BR.CASH SUSPENSE1</v>
          </cell>
          <cell r="C26">
            <v>0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110011002</v>
          </cell>
          <cell r="B27" t="str">
            <v>OFFLINE BR.CASH SUSPENSE2</v>
          </cell>
          <cell r="C27">
            <v>0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110011003</v>
          </cell>
          <cell r="B28" t="str">
            <v>OFFLINE BR.CASH SUSPENSE3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110011004</v>
          </cell>
          <cell r="B29" t="str">
            <v>OFFLINE BR.CASH SUSPENSE4</v>
          </cell>
          <cell r="C29">
            <v>0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110011100</v>
          </cell>
          <cell r="B30" t="str">
            <v>ATM CASH MOVEMENT TRANSIT</v>
          </cell>
          <cell r="C30">
            <v>0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110011200</v>
          </cell>
          <cell r="B31" t="str">
            <v>POS CASH GL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110011301</v>
          </cell>
          <cell r="B32" t="str">
            <v>ATM CASH GL</v>
          </cell>
          <cell r="C32">
            <v>676911424.22000003</v>
          </cell>
          <cell r="D32">
            <v>0</v>
          </cell>
          <cell r="E32">
            <v>676911424.22000003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676911424.22000003</v>
          </cell>
          <cell r="T32">
            <v>676911424.22000003</v>
          </cell>
        </row>
        <row r="33">
          <cell r="A33">
            <v>110011302</v>
          </cell>
          <cell r="B33" t="str">
            <v>ATM CASH GL - ONSITE 2</v>
          </cell>
          <cell r="C33">
            <v>639997424</v>
          </cell>
          <cell r="D33">
            <v>0</v>
          </cell>
          <cell r="E33">
            <v>639997424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639997424</v>
          </cell>
          <cell r="T33">
            <v>639997424</v>
          </cell>
        </row>
        <row r="34">
          <cell r="A34">
            <v>110011303</v>
          </cell>
          <cell r="B34" t="str">
            <v>ATM CASH GL - ONSITE 3</v>
          </cell>
          <cell r="C34">
            <v>261998402.5</v>
          </cell>
          <cell r="D34">
            <v>0</v>
          </cell>
          <cell r="E34">
            <v>261998402.5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261998402.5</v>
          </cell>
          <cell r="T34">
            <v>261998402.5</v>
          </cell>
        </row>
        <row r="35">
          <cell r="A35">
            <v>110011304</v>
          </cell>
          <cell r="B35" t="str">
            <v>ATM CASH GL - ONSITE 4</v>
          </cell>
          <cell r="C35">
            <v>175739496.40000001</v>
          </cell>
          <cell r="D35">
            <v>0</v>
          </cell>
          <cell r="E35">
            <v>175739496.40000001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175739496.40000001</v>
          </cell>
          <cell r="T35">
            <v>175739496.40000001</v>
          </cell>
        </row>
        <row r="36">
          <cell r="A36">
            <v>110011305</v>
          </cell>
          <cell r="B36" t="str">
            <v>ATM CASH GL - ONSITE 5</v>
          </cell>
          <cell r="C36">
            <v>96024500</v>
          </cell>
          <cell r="D36">
            <v>0</v>
          </cell>
          <cell r="E36">
            <v>96024500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96024500</v>
          </cell>
          <cell r="T36">
            <v>96024500</v>
          </cell>
        </row>
        <row r="37">
          <cell r="A37">
            <v>110011306</v>
          </cell>
          <cell r="B37" t="str">
            <v>ATM CASH GL - ONSITE 6</v>
          </cell>
          <cell r="C37">
            <v>64573500</v>
          </cell>
          <cell r="D37">
            <v>0</v>
          </cell>
          <cell r="E37">
            <v>64573500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64573500</v>
          </cell>
          <cell r="T37">
            <v>64573500</v>
          </cell>
        </row>
        <row r="38">
          <cell r="A38">
            <v>110011307</v>
          </cell>
          <cell r="B38" t="str">
            <v>ATM CASH GL - ONSITE 7</v>
          </cell>
          <cell r="C38">
            <v>28352222.899999999</v>
          </cell>
          <cell r="D38">
            <v>0</v>
          </cell>
          <cell r="E38">
            <v>28352222.899999999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28352222.899999999</v>
          </cell>
          <cell r="T38">
            <v>28352222.899999999</v>
          </cell>
        </row>
        <row r="39">
          <cell r="A39">
            <v>110011308</v>
          </cell>
          <cell r="B39" t="str">
            <v>ATM CASH GL - ONSITE 8</v>
          </cell>
          <cell r="C39">
            <v>6190000</v>
          </cell>
          <cell r="D39">
            <v>0</v>
          </cell>
          <cell r="E39">
            <v>6190000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6190000</v>
          </cell>
          <cell r="T39">
            <v>6190000</v>
          </cell>
        </row>
        <row r="40">
          <cell r="A40">
            <v>110011309</v>
          </cell>
          <cell r="B40" t="str">
            <v>ATM CASH GL - ONSITE 9</v>
          </cell>
          <cell r="C40">
            <v>-39000</v>
          </cell>
          <cell r="D40">
            <v>0</v>
          </cell>
          <cell r="E40">
            <v>-39000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-39000</v>
          </cell>
          <cell r="T40">
            <v>-39000</v>
          </cell>
        </row>
        <row r="41">
          <cell r="A41">
            <v>110011310</v>
          </cell>
          <cell r="B41" t="str">
            <v>ATM CASH GL - ONSITE 10</v>
          </cell>
          <cell r="C41">
            <v>0</v>
          </cell>
          <cell r="D41">
            <v>0</v>
          </cell>
          <cell r="E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110011401</v>
          </cell>
          <cell r="B42" t="str">
            <v>ATM CASH GL - OFFSITE 1</v>
          </cell>
          <cell r="C42">
            <v>37269000</v>
          </cell>
          <cell r="D42">
            <v>0</v>
          </cell>
          <cell r="E42">
            <v>37269000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37269000</v>
          </cell>
          <cell r="T42">
            <v>37269000</v>
          </cell>
        </row>
        <row r="43">
          <cell r="A43">
            <v>110011402</v>
          </cell>
          <cell r="B43" t="str">
            <v>ATM CASH GL - OFFSITE 2</v>
          </cell>
          <cell r="C43">
            <v>20802400</v>
          </cell>
          <cell r="D43">
            <v>0</v>
          </cell>
          <cell r="E43">
            <v>20802400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20802400</v>
          </cell>
          <cell r="T43">
            <v>20802400</v>
          </cell>
        </row>
        <row r="44">
          <cell r="A44">
            <v>110011403</v>
          </cell>
          <cell r="B44" t="str">
            <v>ATM CASH GL - OFFSITE 3</v>
          </cell>
          <cell r="C44">
            <v>22357500</v>
          </cell>
          <cell r="D44">
            <v>0</v>
          </cell>
          <cell r="E44">
            <v>22357500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22357500</v>
          </cell>
          <cell r="T44">
            <v>22357500</v>
          </cell>
        </row>
        <row r="45">
          <cell r="A45">
            <v>110011404</v>
          </cell>
          <cell r="B45" t="str">
            <v>ATM CASH GL - OFFSITE 4</v>
          </cell>
          <cell r="C45">
            <v>12062500</v>
          </cell>
          <cell r="D45">
            <v>0</v>
          </cell>
          <cell r="E45">
            <v>12062500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12062500</v>
          </cell>
          <cell r="T45">
            <v>12062500</v>
          </cell>
        </row>
        <row r="46">
          <cell r="A46">
            <v>110011405</v>
          </cell>
          <cell r="B46" t="str">
            <v>ATM CASH GL - OFFSITE 5</v>
          </cell>
          <cell r="C46">
            <v>4511000</v>
          </cell>
          <cell r="D46">
            <v>0</v>
          </cell>
          <cell r="E46">
            <v>4511000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4511000</v>
          </cell>
          <cell r="T46">
            <v>4511000</v>
          </cell>
        </row>
        <row r="47">
          <cell r="A47">
            <v>110011406</v>
          </cell>
          <cell r="B47" t="str">
            <v>ATM CASH GL - OFFSITE 6</v>
          </cell>
          <cell r="C47">
            <v>3636000</v>
          </cell>
          <cell r="D47">
            <v>0</v>
          </cell>
          <cell r="E47">
            <v>3636000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3636000</v>
          </cell>
          <cell r="T47">
            <v>3636000</v>
          </cell>
        </row>
        <row r="48">
          <cell r="A48">
            <v>110011407</v>
          </cell>
          <cell r="B48" t="str">
            <v>ATM CASH GL - OFFSITE 7</v>
          </cell>
          <cell r="C48">
            <v>9000</v>
          </cell>
          <cell r="D48">
            <v>0</v>
          </cell>
          <cell r="E48">
            <v>9000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9000</v>
          </cell>
          <cell r="T48">
            <v>9000</v>
          </cell>
        </row>
        <row r="49">
          <cell r="A49">
            <v>110011408</v>
          </cell>
          <cell r="B49" t="str">
            <v>ATM CASH GL - OFFSITE 8</v>
          </cell>
          <cell r="C49">
            <v>6711000</v>
          </cell>
          <cell r="D49">
            <v>0</v>
          </cell>
          <cell r="E49">
            <v>6711000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6711000</v>
          </cell>
          <cell r="T49">
            <v>6711000</v>
          </cell>
        </row>
        <row r="50">
          <cell r="A50">
            <v>110011409</v>
          </cell>
          <cell r="B50" t="str">
            <v>ATM CASH GL - OFFSITE 9</v>
          </cell>
          <cell r="C50">
            <v>3643951.8</v>
          </cell>
          <cell r="D50">
            <v>0</v>
          </cell>
          <cell r="E50">
            <v>3643951.8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3643951.8</v>
          </cell>
          <cell r="T50">
            <v>3643951.8</v>
          </cell>
        </row>
        <row r="51">
          <cell r="A51">
            <v>110011410</v>
          </cell>
          <cell r="B51" t="str">
            <v>ATM CASH GL - OFFSITE 10</v>
          </cell>
          <cell r="C51">
            <v>14441650</v>
          </cell>
          <cell r="D51">
            <v>0</v>
          </cell>
          <cell r="E51">
            <v>14441650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14441650</v>
          </cell>
          <cell r="T51">
            <v>14441650</v>
          </cell>
        </row>
        <row r="52">
          <cell r="A52">
            <v>110011411</v>
          </cell>
          <cell r="B52" t="str">
            <v>ATM CASH GL - OFFSITE 11</v>
          </cell>
          <cell r="C52">
            <v>4652000</v>
          </cell>
          <cell r="D52">
            <v>0</v>
          </cell>
          <cell r="E52">
            <v>4652000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4652000</v>
          </cell>
          <cell r="T52">
            <v>4652000</v>
          </cell>
        </row>
        <row r="53">
          <cell r="A53">
            <v>110011412</v>
          </cell>
          <cell r="B53" t="str">
            <v>ATM CASH GL - OFFSITE 12</v>
          </cell>
          <cell r="C53">
            <v>0</v>
          </cell>
          <cell r="D53">
            <v>0</v>
          </cell>
          <cell r="E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110011413</v>
          </cell>
          <cell r="B54" t="str">
            <v>ATM CASH GL - OFFSITE 13</v>
          </cell>
          <cell r="C54">
            <v>950000</v>
          </cell>
          <cell r="D54">
            <v>0</v>
          </cell>
          <cell r="E54">
            <v>950000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950000</v>
          </cell>
          <cell r="T54">
            <v>950000</v>
          </cell>
        </row>
        <row r="55">
          <cell r="A55">
            <v>110011414</v>
          </cell>
          <cell r="B55" t="str">
            <v>ATM CASH GL - OFFSITE 14</v>
          </cell>
          <cell r="C55">
            <v>0</v>
          </cell>
          <cell r="D55">
            <v>0</v>
          </cell>
          <cell r="E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110011415</v>
          </cell>
          <cell r="B56" t="str">
            <v>ATM CASH GL - OFFSITE 15</v>
          </cell>
          <cell r="C56">
            <v>3599000</v>
          </cell>
          <cell r="D56">
            <v>0</v>
          </cell>
          <cell r="E56">
            <v>3599000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3599000</v>
          </cell>
          <cell r="T56">
            <v>3599000</v>
          </cell>
        </row>
        <row r="57">
          <cell r="A57">
            <v>110011416</v>
          </cell>
          <cell r="B57" t="str">
            <v>ATM CASH GL - OFFSITE 16</v>
          </cell>
          <cell r="C57">
            <v>5633000</v>
          </cell>
          <cell r="D57">
            <v>0</v>
          </cell>
          <cell r="E57">
            <v>5633000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5633000</v>
          </cell>
          <cell r="T57">
            <v>5633000</v>
          </cell>
        </row>
        <row r="58">
          <cell r="A58">
            <v>110011417</v>
          </cell>
          <cell r="B58" t="str">
            <v>ATM CASH GL - OFFSITE 17</v>
          </cell>
          <cell r="C58">
            <v>0</v>
          </cell>
          <cell r="D58">
            <v>0</v>
          </cell>
          <cell r="E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 t="str">
            <v>_x0012_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Polaris Bank Limited, N</v>
          </cell>
          <cell r="D61" t="str">
            <v>igeria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** Consolidated Balance Shee</v>
          </cell>
          <cell r="D62" t="str">
            <v>t CBN **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As on :     31-OCT-2025</v>
          </cell>
          <cell r="E64" t="str">
            <v>Page   :   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A66" t="str">
            <v>User Id :</v>
          </cell>
          <cell r="B66" t="str">
            <v>SYSTEM</v>
          </cell>
          <cell r="C66" t="str">
            <v>Date 1 Time :     01-NOV-2025</v>
          </cell>
          <cell r="D66">
            <v>0.21625000000000003</v>
          </cell>
          <cell r="E66" t="str">
            <v>Module :   GL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 t="str">
            <v>----------</v>
          </cell>
          <cell r="B67" t="str">
            <v>----------------------------------------</v>
          </cell>
          <cell r="C67" t="str">
            <v>------------------------------</v>
          </cell>
          <cell r="D67" t="str">
            <v>------------------------------</v>
          </cell>
          <cell r="E67" t="str">
            <v>----------------------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 t="str">
            <v>GL Code</v>
          </cell>
          <cell r="B68" t="str">
            <v>Description</v>
          </cell>
          <cell r="C68" t="str">
            <v>LCY Amount</v>
          </cell>
          <cell r="D68" t="str">
            <v>FCY Amount (Lcy Eq)</v>
          </cell>
          <cell r="E68" t="str">
            <v>Total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>----------</v>
          </cell>
          <cell r="B70" t="str">
            <v>----------------------------------------</v>
          </cell>
          <cell r="C70" t="str">
            <v>------------------------------</v>
          </cell>
          <cell r="D70" t="str">
            <v>------------------------------</v>
          </cell>
          <cell r="E70" t="str">
            <v>----------------------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 t="str">
            <v>Asset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110011418</v>
          </cell>
          <cell r="B73" t="str">
            <v>ATM CASH GL - OFFSITE 18</v>
          </cell>
          <cell r="C73">
            <v>8767500</v>
          </cell>
          <cell r="D73">
            <v>0</v>
          </cell>
          <cell r="E73">
            <v>8767500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8767500</v>
          </cell>
          <cell r="T73">
            <v>8767500</v>
          </cell>
        </row>
        <row r="74">
          <cell r="A74">
            <v>110011419</v>
          </cell>
          <cell r="B74" t="str">
            <v>ATM CASH GL - OFFSITE 19</v>
          </cell>
          <cell r="C74">
            <v>978500</v>
          </cell>
          <cell r="D74">
            <v>0</v>
          </cell>
          <cell r="E74">
            <v>978500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978500</v>
          </cell>
          <cell r="T74">
            <v>978500</v>
          </cell>
        </row>
        <row r="75">
          <cell r="A75">
            <v>110011420</v>
          </cell>
          <cell r="B75" t="str">
            <v>ATM CASH GL - OFFSITE 20</v>
          </cell>
          <cell r="C75">
            <v>5355000</v>
          </cell>
          <cell r="D75">
            <v>0</v>
          </cell>
          <cell r="E75">
            <v>5355000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5355000</v>
          </cell>
          <cell r="T75">
            <v>5355000</v>
          </cell>
        </row>
        <row r="76">
          <cell r="A76">
            <v>110011421</v>
          </cell>
          <cell r="B76" t="str">
            <v>ATM CASH GL - OFFSITE 21</v>
          </cell>
          <cell r="C76">
            <v>0</v>
          </cell>
          <cell r="D76">
            <v>0</v>
          </cell>
          <cell r="E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110011422</v>
          </cell>
          <cell r="B77" t="str">
            <v>ATM CASH GL - OFFSITE 22</v>
          </cell>
          <cell r="C77">
            <v>8060000</v>
          </cell>
          <cell r="D77">
            <v>0</v>
          </cell>
          <cell r="E77">
            <v>8060000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8060000</v>
          </cell>
          <cell r="T77">
            <v>8060000</v>
          </cell>
        </row>
        <row r="78">
          <cell r="A78">
            <v>110011423</v>
          </cell>
          <cell r="B78" t="str">
            <v>ATM CASH GL - OFFSITE 23</v>
          </cell>
          <cell r="C78">
            <v>9007000</v>
          </cell>
          <cell r="D78">
            <v>0</v>
          </cell>
          <cell r="E78">
            <v>9007000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9007000</v>
          </cell>
          <cell r="T78">
            <v>9007000</v>
          </cell>
        </row>
        <row r="79">
          <cell r="A79">
            <v>110011424</v>
          </cell>
          <cell r="B79" t="str">
            <v>ATM CASH GL - OFFSITE 24</v>
          </cell>
          <cell r="C79">
            <v>5306500</v>
          </cell>
          <cell r="D79">
            <v>0</v>
          </cell>
          <cell r="E79">
            <v>5306500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5306500</v>
          </cell>
          <cell r="T79">
            <v>5306500</v>
          </cell>
        </row>
        <row r="80">
          <cell r="A80">
            <v>110011425</v>
          </cell>
          <cell r="B80" t="str">
            <v>ATM CASH GL - OFFSITE 25</v>
          </cell>
          <cell r="C80">
            <v>7996000</v>
          </cell>
          <cell r="D80">
            <v>0</v>
          </cell>
          <cell r="E80">
            <v>7996000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7996000</v>
          </cell>
          <cell r="T80">
            <v>7996000</v>
          </cell>
        </row>
        <row r="81">
          <cell r="A81">
            <v>110011426</v>
          </cell>
          <cell r="B81" t="str">
            <v>ATM CASH GL - OFFSITE 26</v>
          </cell>
          <cell r="C81">
            <v>6572000</v>
          </cell>
          <cell r="D81">
            <v>0</v>
          </cell>
          <cell r="E81">
            <v>6572000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6572000</v>
          </cell>
          <cell r="T81">
            <v>6572000</v>
          </cell>
        </row>
        <row r="82">
          <cell r="A82">
            <v>110011427</v>
          </cell>
          <cell r="B82" t="str">
            <v>ATM CASH GL - OFFSITE 27</v>
          </cell>
          <cell r="C82">
            <v>6394000</v>
          </cell>
          <cell r="D82">
            <v>0</v>
          </cell>
          <cell r="E82">
            <v>6394000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6394000</v>
          </cell>
          <cell r="T82">
            <v>6394000</v>
          </cell>
        </row>
        <row r="83">
          <cell r="A83">
            <v>110011428</v>
          </cell>
          <cell r="B83" t="str">
            <v>ATM CASH GL - OFFSITE 28</v>
          </cell>
          <cell r="C83">
            <v>9488500</v>
          </cell>
          <cell r="D83">
            <v>0</v>
          </cell>
          <cell r="E83">
            <v>9488500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9488500</v>
          </cell>
          <cell r="T83">
            <v>9488500</v>
          </cell>
        </row>
        <row r="84">
          <cell r="A84">
            <v>110011429</v>
          </cell>
          <cell r="B84" t="str">
            <v>ATM CASH GL - OFFSITE 29</v>
          </cell>
          <cell r="C84">
            <v>7227000</v>
          </cell>
          <cell r="D84">
            <v>0</v>
          </cell>
          <cell r="E84">
            <v>7227000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7227000</v>
          </cell>
          <cell r="T84">
            <v>7227000</v>
          </cell>
        </row>
        <row r="85">
          <cell r="A85">
            <v>110011430</v>
          </cell>
          <cell r="B85" t="str">
            <v>ATM CASH GL - OFFSITE 30</v>
          </cell>
          <cell r="C85">
            <v>11740417.1</v>
          </cell>
          <cell r="D85">
            <v>0</v>
          </cell>
          <cell r="E85">
            <v>11740417.1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11740417.1</v>
          </cell>
          <cell r="T85">
            <v>11740417.1</v>
          </cell>
        </row>
        <row r="86">
          <cell r="A86">
            <v>110011431</v>
          </cell>
          <cell r="B86" t="str">
            <v>ATM CASH GL - OFFSITE 31</v>
          </cell>
          <cell r="C86">
            <v>9678500</v>
          </cell>
          <cell r="D86">
            <v>0</v>
          </cell>
          <cell r="E86">
            <v>9678500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9678500</v>
          </cell>
          <cell r="T86">
            <v>9678500</v>
          </cell>
        </row>
        <row r="87">
          <cell r="A87">
            <v>110011432</v>
          </cell>
          <cell r="B87" t="str">
            <v>ATM CASH GL - OFFSITE 32</v>
          </cell>
          <cell r="C87">
            <v>6630000</v>
          </cell>
          <cell r="D87">
            <v>0</v>
          </cell>
          <cell r="E87">
            <v>6630000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6630000</v>
          </cell>
          <cell r="T87">
            <v>6630000</v>
          </cell>
        </row>
        <row r="88">
          <cell r="A88">
            <v>110011433</v>
          </cell>
          <cell r="B88" t="str">
            <v>ATM CASH GL - OFFSITE 33</v>
          </cell>
          <cell r="C88">
            <v>6327000</v>
          </cell>
          <cell r="D88">
            <v>0</v>
          </cell>
          <cell r="E88">
            <v>6327000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6327000</v>
          </cell>
          <cell r="T88">
            <v>6327000</v>
          </cell>
        </row>
        <row r="89">
          <cell r="A89">
            <v>110011434</v>
          </cell>
          <cell r="B89" t="str">
            <v>ATM CASH GL - OFFSITE 34</v>
          </cell>
          <cell r="C89">
            <v>9402500</v>
          </cell>
          <cell r="D89">
            <v>0</v>
          </cell>
          <cell r="E89">
            <v>9402500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9402500</v>
          </cell>
          <cell r="T89">
            <v>9402500</v>
          </cell>
        </row>
        <row r="90">
          <cell r="A90">
            <v>110011435</v>
          </cell>
          <cell r="B90" t="str">
            <v>ATM CASH GL - OFFSITE 35</v>
          </cell>
          <cell r="C90">
            <v>3943000</v>
          </cell>
          <cell r="D90">
            <v>0</v>
          </cell>
          <cell r="E90">
            <v>3943000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3943000</v>
          </cell>
          <cell r="T90">
            <v>3943000</v>
          </cell>
        </row>
        <row r="91">
          <cell r="A91">
            <v>110011436</v>
          </cell>
          <cell r="B91" t="str">
            <v>ATM CASH GL - OFFSITE 36</v>
          </cell>
          <cell r="C91">
            <v>1965500</v>
          </cell>
          <cell r="D91">
            <v>0</v>
          </cell>
          <cell r="E91">
            <v>1965500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1965500</v>
          </cell>
          <cell r="T91">
            <v>1965500</v>
          </cell>
        </row>
        <row r="92">
          <cell r="A92">
            <v>110011437</v>
          </cell>
          <cell r="B92" t="str">
            <v>ATM CASH GL - OFFSITE 37</v>
          </cell>
          <cell r="C92">
            <v>1430000</v>
          </cell>
          <cell r="D92">
            <v>0</v>
          </cell>
          <cell r="E92">
            <v>1430000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1430000</v>
          </cell>
          <cell r="T92">
            <v>1430000</v>
          </cell>
        </row>
        <row r="93">
          <cell r="A93">
            <v>110011438</v>
          </cell>
          <cell r="B93" t="str">
            <v>ATM CASH GL - OFFSITE 38</v>
          </cell>
          <cell r="C93">
            <v>0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A94">
            <v>110011439</v>
          </cell>
          <cell r="B94" t="str">
            <v>ATM CASH GL - OFFSITE 39</v>
          </cell>
          <cell r="C94">
            <v>0</v>
          </cell>
          <cell r="D94">
            <v>0</v>
          </cell>
          <cell r="E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110011440</v>
          </cell>
          <cell r="B95" t="str">
            <v>ATM CASH GL - OFFSITE 40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110011500</v>
          </cell>
          <cell r="B96" t="str">
            <v>POLARIS-$ CASH A/C</v>
          </cell>
          <cell r="C96">
            <v>0</v>
          </cell>
          <cell r="D96">
            <v>0</v>
          </cell>
          <cell r="E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110011600</v>
          </cell>
          <cell r="B97" t="str">
            <v>POLARIS-STERLING(#) CASH STOCK A</v>
          </cell>
          <cell r="C97">
            <v>0</v>
          </cell>
          <cell r="D97">
            <v>0</v>
          </cell>
          <cell r="E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110011700</v>
          </cell>
          <cell r="B98" t="str">
            <v>INTERBRANCH  CASH  ACCOUNT (CMU)</v>
          </cell>
          <cell r="C98">
            <v>0</v>
          </cell>
          <cell r="D98">
            <v>-5719624.2000000002</v>
          </cell>
          <cell r="E98">
            <v>-5719624.2000000002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-5719624.2000000002</v>
          </cell>
          <cell r="T98">
            <v>-5719624.2000000002</v>
          </cell>
        </row>
        <row r="99">
          <cell r="A99">
            <v>110011800</v>
          </cell>
          <cell r="B99" t="str">
            <v>POLARISXCHANGE CASH EQUIVALENT</v>
          </cell>
          <cell r="C99">
            <v>0</v>
          </cell>
          <cell r="D99">
            <v>0</v>
          </cell>
          <cell r="E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110011900</v>
          </cell>
          <cell r="B100" t="str">
            <v>TRAVELLERS CHEQUES</v>
          </cell>
          <cell r="C100">
            <v>0</v>
          </cell>
          <cell r="D100">
            <v>0</v>
          </cell>
          <cell r="E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110012000</v>
          </cell>
          <cell r="B101" t="str">
            <v>CASH &amp; VAULT A/C (HEAD OFFICE)</v>
          </cell>
          <cell r="C101">
            <v>0</v>
          </cell>
          <cell r="D101">
            <v>0</v>
          </cell>
          <cell r="E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110012100</v>
          </cell>
          <cell r="B102" t="str">
            <v>BRANCH BDC STOCK ACCOUNT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110012200</v>
          </cell>
          <cell r="B103" t="str">
            <v>CASH MOVEMENT (CONVERSION) GL</v>
          </cell>
          <cell r="C103">
            <v>0</v>
          </cell>
          <cell r="D103">
            <v>0</v>
          </cell>
          <cell r="E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110012300</v>
          </cell>
          <cell r="B104" t="str">
            <v>ATM CONVERSION FCUBS</v>
          </cell>
          <cell r="C104">
            <v>0</v>
          </cell>
          <cell r="D104">
            <v>0</v>
          </cell>
          <cell r="E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110012400</v>
          </cell>
          <cell r="B105" t="str">
            <v>CASH CONVERSION FCUBS</v>
          </cell>
          <cell r="C105">
            <v>0</v>
          </cell>
          <cell r="D105">
            <v>0</v>
          </cell>
          <cell r="E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110012600</v>
          </cell>
          <cell r="B106" t="str">
            <v>CASH CONVERSION MAPPING GL</v>
          </cell>
          <cell r="C106">
            <v>0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110020010</v>
          </cell>
          <cell r="B107" t="str">
            <v>CASH IN TRANSIT FROM OTHER BANKS</v>
          </cell>
          <cell r="C107">
            <v>50923000</v>
          </cell>
          <cell r="D107">
            <v>0</v>
          </cell>
          <cell r="E107">
            <v>50923000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50923000</v>
          </cell>
          <cell r="T107">
            <v>50923000</v>
          </cell>
        </row>
        <row r="108">
          <cell r="A108">
            <v>110020020</v>
          </cell>
          <cell r="B108" t="str">
            <v>CBN  ACCOUNT - RTGS</v>
          </cell>
          <cell r="C108">
            <v>0</v>
          </cell>
          <cell r="D108">
            <v>0</v>
          </cell>
          <cell r="E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110020030</v>
          </cell>
          <cell r="B109" t="str">
            <v>CURRENT ACCOUNT WITH CBN (NIBSS)</v>
          </cell>
          <cell r="C109">
            <v>15929198152.48</v>
          </cell>
          <cell r="D109">
            <v>0</v>
          </cell>
          <cell r="E109">
            <v>15929198152.48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15929198152.48</v>
          </cell>
          <cell r="T109">
            <v>15929198152.48</v>
          </cell>
        </row>
        <row r="110">
          <cell r="A110">
            <v>110030010</v>
          </cell>
          <cell r="B110" t="str">
            <v>CLEARING SUSPENSE</v>
          </cell>
          <cell r="C110">
            <v>0</v>
          </cell>
          <cell r="D110">
            <v>0</v>
          </cell>
          <cell r="E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110030020</v>
          </cell>
          <cell r="B111" t="str">
            <v>RTGS  SUSPENSE  A/C</v>
          </cell>
          <cell r="C111">
            <v>-893000</v>
          </cell>
          <cell r="D111">
            <v>0</v>
          </cell>
          <cell r="E111">
            <v>-893000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893000</v>
          </cell>
          <cell r="T111">
            <v>893000</v>
          </cell>
        </row>
        <row r="112">
          <cell r="A112">
            <v>110030030</v>
          </cell>
          <cell r="B112" t="str">
            <v>e-NAIRA STOCK ACCOUNT</v>
          </cell>
          <cell r="C112">
            <v>36324842.68</v>
          </cell>
          <cell r="D112">
            <v>0</v>
          </cell>
          <cell r="E112">
            <v>36324842.68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36324842.68</v>
          </cell>
          <cell r="T112">
            <v>36324842.68</v>
          </cell>
        </row>
        <row r="113">
          <cell r="A113">
            <v>110040010</v>
          </cell>
          <cell r="B113" t="str">
            <v>CASH RESERVE REQUIREMENT WITH CB</v>
          </cell>
          <cell r="C113">
            <v>422863436292.5</v>
          </cell>
          <cell r="D113">
            <v>0</v>
          </cell>
          <cell r="E113">
            <v>422863436292.5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422863436292.5</v>
          </cell>
          <cell r="T113">
            <v>422863436292.5</v>
          </cell>
        </row>
        <row r="114">
          <cell r="A114">
            <v>110040020</v>
          </cell>
          <cell r="B114" t="str">
            <v>SPECIAL INTERVENTION RESERVE WIT</v>
          </cell>
          <cell r="C114">
            <v>58204234680.099998</v>
          </cell>
          <cell r="D114">
            <v>0</v>
          </cell>
          <cell r="E114">
            <v>58204234680.099998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58204234680.099998</v>
          </cell>
          <cell r="T114">
            <v>58204234680.099998</v>
          </cell>
        </row>
        <row r="115">
          <cell r="A115">
            <v>120010002</v>
          </cell>
          <cell r="B115" t="str">
            <v>CLRG SETTLEMENT A/C WITH FBN PLC</v>
          </cell>
          <cell r="C115">
            <v>0</v>
          </cell>
          <cell r="D115">
            <v>0</v>
          </cell>
          <cell r="E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120010004</v>
          </cell>
          <cell r="B116" t="str">
            <v>NOSTRO CONVERSION LOCAL FCUBS</v>
          </cell>
          <cell r="C116">
            <v>0</v>
          </cell>
          <cell r="D116">
            <v>0</v>
          </cell>
          <cell r="E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_x0012_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C119" t="str">
            <v>Polaris Bank Limited, N</v>
          </cell>
          <cell r="D119" t="str">
            <v>igeria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C120" t="str">
            <v>** Consolidated Balance Shee</v>
          </cell>
          <cell r="D120" t="str">
            <v>t CBN **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C122" t="str">
            <v>As on :     31-OCT-2025</v>
          </cell>
          <cell r="E122" t="str">
            <v>Page   :   3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A124" t="str">
            <v>User Id :</v>
          </cell>
          <cell r="B124" t="str">
            <v>SYSTEM</v>
          </cell>
          <cell r="C124" t="str">
            <v>Date 1 Time :     01-NOV-2025</v>
          </cell>
          <cell r="D124">
            <v>0.21625000000000003</v>
          </cell>
          <cell r="E124" t="str">
            <v>Module :   GL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----------</v>
          </cell>
          <cell r="B125" t="str">
            <v>----------------------------------------</v>
          </cell>
          <cell r="C125" t="str">
            <v>------------------------------</v>
          </cell>
          <cell r="D125" t="str">
            <v>------------------------------</v>
          </cell>
          <cell r="E125" t="str">
            <v>----------------------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A126" t="str">
            <v>GL Code</v>
          </cell>
          <cell r="B126" t="str">
            <v>Description</v>
          </cell>
          <cell r="C126" t="str">
            <v>LCY Amount</v>
          </cell>
          <cell r="D126" t="str">
            <v>FCY Amount (Lcy Eq)</v>
          </cell>
          <cell r="E126" t="str">
            <v>Total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A128" t="str">
            <v>----------</v>
          </cell>
          <cell r="B128" t="str">
            <v>----------------------------------------</v>
          </cell>
          <cell r="C128" t="str">
            <v>------------------------------</v>
          </cell>
          <cell r="D128" t="str">
            <v>------------------------------</v>
          </cell>
          <cell r="E128" t="str">
            <v>----------------------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A129" t="str">
            <v>Asset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A131">
            <v>120010006</v>
          </cell>
          <cell r="B131" t="str">
            <v>BAL WITH STANDARD CHARTERED BANK</v>
          </cell>
          <cell r="C131">
            <v>0</v>
          </cell>
          <cell r="D131">
            <v>0</v>
          </cell>
          <cell r="E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A132">
            <v>120010007</v>
          </cell>
          <cell r="B132" t="str">
            <v>CENTRAL CLEARING SETTLEMENT ACCO</v>
          </cell>
          <cell r="C132">
            <v>0</v>
          </cell>
          <cell r="D132">
            <v>0</v>
          </cell>
          <cell r="E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A133">
            <v>120020001</v>
          </cell>
          <cell r="B133" t="str">
            <v>PLACEMENT WITH BARCLAYS BANK</v>
          </cell>
          <cell r="C133">
            <v>0</v>
          </cell>
          <cell r="D133">
            <v>0</v>
          </cell>
          <cell r="E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A134">
            <v>120020003</v>
          </cell>
          <cell r="B134" t="str">
            <v>COLLATERAL  PLACEMENT</v>
          </cell>
          <cell r="C134">
            <v>0</v>
          </cell>
          <cell r="D134">
            <v>0</v>
          </cell>
          <cell r="E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A135">
            <v>120020004</v>
          </cell>
          <cell r="B135" t="str">
            <v>FBN UK CNY INTEREST AND CHARGES</v>
          </cell>
          <cell r="C135">
            <v>0</v>
          </cell>
          <cell r="D135">
            <v>0</v>
          </cell>
          <cell r="E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A136">
            <v>120020005</v>
          </cell>
          <cell r="B136" t="str">
            <v>DEUTSCHE NY USD FEM MAIN ACCT.</v>
          </cell>
          <cell r="C136">
            <v>0</v>
          </cell>
          <cell r="D136">
            <v>0</v>
          </cell>
          <cell r="E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A137">
            <v>120020006</v>
          </cell>
          <cell r="B137" t="str">
            <v>DEUTSCHE NY USD LC COLLATERAL AC</v>
          </cell>
          <cell r="C137">
            <v>0</v>
          </cell>
          <cell r="D137">
            <v>0</v>
          </cell>
          <cell r="E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A138">
            <v>120020007</v>
          </cell>
          <cell r="B138" t="str">
            <v>DEUTSCHE NY USD INT &amp; CHARGES AC</v>
          </cell>
          <cell r="C138">
            <v>0</v>
          </cell>
          <cell r="D138">
            <v>0</v>
          </cell>
          <cell r="E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A139">
            <v>120020008</v>
          </cell>
          <cell r="B139" t="str">
            <v>DEUTSCHE NY USD LC INTEREST ACCT</v>
          </cell>
          <cell r="C139">
            <v>0</v>
          </cell>
          <cell r="D139">
            <v>0</v>
          </cell>
          <cell r="E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A140">
            <v>120020009</v>
          </cell>
          <cell r="B140" t="str">
            <v>DEUTSCHE NY USD DOM. / AUTONOMOU</v>
          </cell>
          <cell r="C140">
            <v>0</v>
          </cell>
          <cell r="D140">
            <v>0</v>
          </cell>
          <cell r="E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A141">
            <v>120020011</v>
          </cell>
          <cell r="B141" t="str">
            <v>DEUTSCHE LONDON GBP DOM. AUTO  A</v>
          </cell>
          <cell r="C141">
            <v>0</v>
          </cell>
          <cell r="D141">
            <v>0</v>
          </cell>
          <cell r="E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A142">
            <v>120020012</v>
          </cell>
          <cell r="B142" t="str">
            <v>DEUTSCHE FRKFT EUR LC COLLATERAL</v>
          </cell>
          <cell r="C142">
            <v>0</v>
          </cell>
          <cell r="D142">
            <v>0</v>
          </cell>
          <cell r="E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A143">
            <v>120020013</v>
          </cell>
          <cell r="B143" t="str">
            <v>DEUSCHE FRKFT EUR  ORD. DOM. ACC</v>
          </cell>
          <cell r="C143">
            <v>0</v>
          </cell>
          <cell r="D143">
            <v>0</v>
          </cell>
          <cell r="E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A144">
            <v>120020015</v>
          </cell>
          <cell r="B144" t="str">
            <v>SCB USD CASH COVER</v>
          </cell>
          <cell r="C144">
            <v>0</v>
          </cell>
          <cell r="D144">
            <v>0</v>
          </cell>
          <cell r="E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A145">
            <v>120020016</v>
          </cell>
          <cell r="B145" t="str">
            <v>SCB EUR CASH COVER</v>
          </cell>
          <cell r="C145">
            <v>0</v>
          </cell>
          <cell r="D145">
            <v>0</v>
          </cell>
          <cell r="E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A146">
            <v>120020017</v>
          </cell>
          <cell r="B146" t="str">
            <v>FIRST BANK GBP DOM</v>
          </cell>
          <cell r="C146">
            <v>0</v>
          </cell>
          <cell r="D146">
            <v>0</v>
          </cell>
          <cell r="E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A147">
            <v>120020018</v>
          </cell>
          <cell r="B147" t="str">
            <v>FIRST BANK USD CASH COVER</v>
          </cell>
          <cell r="C147">
            <v>0</v>
          </cell>
          <cell r="D147">
            <v>0</v>
          </cell>
          <cell r="E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A148">
            <v>120020019</v>
          </cell>
          <cell r="B148" t="str">
            <v>BANK OF BERUIT GBP DOM</v>
          </cell>
          <cell r="C148">
            <v>0</v>
          </cell>
          <cell r="D148">
            <v>0</v>
          </cell>
          <cell r="E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A149">
            <v>120020020</v>
          </cell>
          <cell r="B149" t="str">
            <v>CITIBANK NY  WESTERN UNION ACCOU</v>
          </cell>
          <cell r="C149">
            <v>0</v>
          </cell>
          <cell r="D149">
            <v>0</v>
          </cell>
          <cell r="E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A150">
            <v>120020021</v>
          </cell>
          <cell r="B150" t="str">
            <v>SCB INTEREST &amp; CHARGES ACCT</v>
          </cell>
          <cell r="C150">
            <v>0</v>
          </cell>
          <cell r="D150">
            <v>0</v>
          </cell>
          <cell r="E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A151">
            <v>120020022</v>
          </cell>
          <cell r="B151" t="str">
            <v>FCMB BANK (UK) LTD MAIN ACCOUNT(</v>
          </cell>
          <cell r="C151">
            <v>0</v>
          </cell>
          <cell r="D151">
            <v>0</v>
          </cell>
          <cell r="E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A152">
            <v>120020023</v>
          </cell>
          <cell r="B152" t="str">
            <v>FCMB BANK (UK) LTD CASH COLLATER</v>
          </cell>
          <cell r="C152">
            <v>0</v>
          </cell>
          <cell r="D152">
            <v>0</v>
          </cell>
          <cell r="E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A153">
            <v>120020024</v>
          </cell>
          <cell r="B153" t="str">
            <v>FCMB BANK (UK) LTD MAIN ACCOUNT(</v>
          </cell>
          <cell r="C153">
            <v>0</v>
          </cell>
          <cell r="D153">
            <v>0</v>
          </cell>
          <cell r="E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A154">
            <v>120020025</v>
          </cell>
          <cell r="B154" t="str">
            <v>FCMB BANK (UK) LTD CASH COLLATER</v>
          </cell>
          <cell r="C154">
            <v>0</v>
          </cell>
          <cell r="D154">
            <v>0</v>
          </cell>
          <cell r="E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A155">
            <v>120020026</v>
          </cell>
          <cell r="B155" t="str">
            <v>FCMB BANK (UK) LTD MAIN ACCOUNT(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A156">
            <v>120020027</v>
          </cell>
          <cell r="B156" t="str">
            <v>FCMB BANK (UK) LTD CASH COLLATER</v>
          </cell>
          <cell r="C156">
            <v>0</v>
          </cell>
          <cell r="D156">
            <v>0</v>
          </cell>
          <cell r="E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A157">
            <v>120020030</v>
          </cell>
          <cell r="B157" t="str">
            <v>JP MORGAN USD DOM</v>
          </cell>
          <cell r="C157">
            <v>0</v>
          </cell>
          <cell r="D157">
            <v>0</v>
          </cell>
          <cell r="E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A158">
            <v>120020031</v>
          </cell>
          <cell r="B158" t="str">
            <v>CITI MONEYGRAM</v>
          </cell>
          <cell r="C158">
            <v>0</v>
          </cell>
          <cell r="D158">
            <v>0</v>
          </cell>
          <cell r="E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A159">
            <v>120020032</v>
          </cell>
          <cell r="B159" t="str">
            <v>CITIBANK OPERATING A/C</v>
          </cell>
          <cell r="C159">
            <v>0</v>
          </cell>
          <cell r="D159">
            <v>0</v>
          </cell>
          <cell r="E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A160">
            <v>120020034</v>
          </cell>
          <cell r="B160" t="str">
            <v>CITIBANK  CASH COLL A/C</v>
          </cell>
          <cell r="C160">
            <v>0</v>
          </cell>
          <cell r="D160">
            <v>0</v>
          </cell>
          <cell r="E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A161">
            <v>120020035</v>
          </cell>
          <cell r="B161" t="str">
            <v>CITIBANK 36204769</v>
          </cell>
          <cell r="C161">
            <v>0</v>
          </cell>
          <cell r="D161">
            <v>0</v>
          </cell>
          <cell r="E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A162">
            <v>120020036</v>
          </cell>
          <cell r="B162" t="str">
            <v>STANDARD CHARTERED 111 YORK DOM.</v>
          </cell>
          <cell r="C162">
            <v>0</v>
          </cell>
          <cell r="D162">
            <v>0</v>
          </cell>
          <cell r="E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A163">
            <v>120020037</v>
          </cell>
          <cell r="B163" t="str">
            <v>CITIBANK LONDON DOM ACCOUNT (USD</v>
          </cell>
          <cell r="C163">
            <v>0</v>
          </cell>
          <cell r="D163">
            <v>0</v>
          </cell>
          <cell r="E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A164">
            <v>120020039</v>
          </cell>
          <cell r="B164" t="str">
            <v>ALINMA BANK OPERATING ACCT-SAUDI</v>
          </cell>
          <cell r="C164">
            <v>0</v>
          </cell>
          <cell r="D164">
            <v>0</v>
          </cell>
          <cell r="E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A165">
            <v>120020040</v>
          </cell>
          <cell r="B165" t="str">
            <v>GT BANK DOMICILIARY ACCOUNT USD,</v>
          </cell>
          <cell r="C165">
            <v>0</v>
          </cell>
          <cell r="D165">
            <v>0</v>
          </cell>
          <cell r="E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A166">
            <v>120020041</v>
          </cell>
          <cell r="B166" t="str">
            <v>FX PLACEMENT ACCOUNT</v>
          </cell>
          <cell r="C166">
            <v>0</v>
          </cell>
          <cell r="D166">
            <v>0</v>
          </cell>
          <cell r="E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A167">
            <v>120020042</v>
          </cell>
          <cell r="B167" t="str">
            <v>BANK OF BERUIT,LONDON-OPERATING</v>
          </cell>
          <cell r="C167">
            <v>0</v>
          </cell>
          <cell r="D167">
            <v>0</v>
          </cell>
          <cell r="E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A168">
            <v>120020043</v>
          </cell>
          <cell r="B168" t="str">
            <v>BANK OF BERUIT,LONDON-OPERATING</v>
          </cell>
          <cell r="C168">
            <v>0</v>
          </cell>
          <cell r="D168">
            <v>0</v>
          </cell>
          <cell r="E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A169">
            <v>120020044</v>
          </cell>
          <cell r="B169" t="str">
            <v>FIRST BANK OF LONDON(USD)OPERATI</v>
          </cell>
          <cell r="C169">
            <v>0</v>
          </cell>
          <cell r="D169">
            <v>0</v>
          </cell>
          <cell r="E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>
            <v>120020045</v>
          </cell>
          <cell r="B170" t="str">
            <v>CITIBANK EUR 11817167</v>
          </cell>
          <cell r="C170">
            <v>0</v>
          </cell>
          <cell r="D170">
            <v>0</v>
          </cell>
          <cell r="E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A171">
            <v>120020046</v>
          </cell>
          <cell r="B171" t="str">
            <v>CITIBANK GBP 11817183</v>
          </cell>
          <cell r="C171">
            <v>0</v>
          </cell>
          <cell r="D171">
            <v>0</v>
          </cell>
          <cell r="E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</row>
        <row r="172">
          <cell r="A172">
            <v>120020047</v>
          </cell>
          <cell r="B172" t="str">
            <v>SVESKA HANDEEBANKIN SWEDEN OPERA</v>
          </cell>
          <cell r="C172">
            <v>0</v>
          </cell>
          <cell r="D172">
            <v>0</v>
          </cell>
          <cell r="E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A173">
            <v>120020048</v>
          </cell>
          <cell r="B173" t="str">
            <v>SVESKA HANDEEBANKIN SWEDEN CALL</v>
          </cell>
          <cell r="C173">
            <v>0</v>
          </cell>
          <cell r="D173">
            <v>0</v>
          </cell>
          <cell r="E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A174">
            <v>120020050</v>
          </cell>
          <cell r="B174" t="str">
            <v>UNION UK BANK   OPERATING</v>
          </cell>
          <cell r="C174">
            <v>0</v>
          </cell>
          <cell r="D174">
            <v>0</v>
          </cell>
          <cell r="E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A175" t="str">
            <v>_x0012_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C177" t="str">
            <v>Polaris Bank Limited, N</v>
          </cell>
          <cell r="D177" t="str">
            <v>igeria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C178" t="str">
            <v>** Consolidated Balance Shee</v>
          </cell>
          <cell r="D178" t="str">
            <v>t CBN **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C180" t="str">
            <v>As on :     31-OCT-2025</v>
          </cell>
          <cell r="E180" t="str">
            <v>Page   :   4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A182" t="str">
            <v>User Id :</v>
          </cell>
          <cell r="B182" t="str">
            <v>SYSTEM</v>
          </cell>
          <cell r="C182" t="str">
            <v>Date 1 Time :     01-NOV-2025</v>
          </cell>
          <cell r="D182">
            <v>0.21625000000000003</v>
          </cell>
          <cell r="E182" t="str">
            <v>Module :   GL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A183" t="str">
            <v>----------</v>
          </cell>
          <cell r="B183" t="str">
            <v>----------------------------------------</v>
          </cell>
          <cell r="C183" t="str">
            <v>------------------------------</v>
          </cell>
          <cell r="D183" t="str">
            <v>------------------------------</v>
          </cell>
          <cell r="E183" t="str">
            <v>----------------------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A184" t="str">
            <v>GL Code</v>
          </cell>
          <cell r="B184" t="str">
            <v>Description</v>
          </cell>
          <cell r="C184" t="str">
            <v>LCY Amount</v>
          </cell>
          <cell r="D184" t="str">
            <v>FCY Amount (Lcy Eq)</v>
          </cell>
          <cell r="E184" t="str">
            <v>Total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A186" t="str">
            <v>----------</v>
          </cell>
          <cell r="B186" t="str">
            <v>----------------------------------------</v>
          </cell>
          <cell r="C186" t="str">
            <v>------------------------------</v>
          </cell>
          <cell r="D186" t="str">
            <v>------------------------------</v>
          </cell>
          <cell r="E186" t="str">
            <v>----------------------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A187" t="str">
            <v>Asset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A189">
            <v>120020051</v>
          </cell>
          <cell r="B189" t="str">
            <v>FIRST BANK UK</v>
          </cell>
          <cell r="C189">
            <v>0</v>
          </cell>
          <cell r="D189">
            <v>0</v>
          </cell>
          <cell r="E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</row>
        <row r="190">
          <cell r="A190">
            <v>120020052</v>
          </cell>
          <cell r="B190" t="str">
            <v>DEUTSCHE FRANFURT SETTLEMENT ACC</v>
          </cell>
          <cell r="C190">
            <v>0</v>
          </cell>
          <cell r="D190">
            <v>0</v>
          </cell>
          <cell r="E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A191">
            <v>120020053</v>
          </cell>
          <cell r="B191" t="str">
            <v>SMBCE LONDON OPERATING A/C</v>
          </cell>
          <cell r="C191">
            <v>0</v>
          </cell>
          <cell r="D191">
            <v>0</v>
          </cell>
          <cell r="E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A192">
            <v>120020054</v>
          </cell>
          <cell r="B192" t="str">
            <v>CREDIT SUISSE SWITZERLAND  DOM A</v>
          </cell>
          <cell r="C192">
            <v>0</v>
          </cell>
          <cell r="D192">
            <v>0</v>
          </cell>
          <cell r="E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A193">
            <v>120020055</v>
          </cell>
          <cell r="B193" t="str">
            <v>CITI BANK USD CITIGB2L 4526 OPER</v>
          </cell>
          <cell r="C193">
            <v>0</v>
          </cell>
          <cell r="D193">
            <v>0</v>
          </cell>
          <cell r="E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A194">
            <v>120020058</v>
          </cell>
          <cell r="B194" t="str">
            <v>ZENITH BANK LONDON OPERATING A/C</v>
          </cell>
          <cell r="C194">
            <v>0</v>
          </cell>
          <cell r="D194">
            <v>0</v>
          </cell>
          <cell r="E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A195">
            <v>120020060</v>
          </cell>
          <cell r="B195" t="str">
            <v>COMMERZ NON EXP  400880136701</v>
          </cell>
          <cell r="C195">
            <v>0</v>
          </cell>
          <cell r="D195">
            <v>0</v>
          </cell>
          <cell r="E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A196">
            <v>120020061</v>
          </cell>
          <cell r="B196" t="str">
            <v>BANK OF BEIRUT EURO SETTLEMT INT</v>
          </cell>
          <cell r="C196">
            <v>0</v>
          </cell>
          <cell r="D196">
            <v>0</v>
          </cell>
          <cell r="E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A197">
            <v>120020062</v>
          </cell>
          <cell r="B197" t="str">
            <v>CITI BANK INT A/C 906</v>
          </cell>
          <cell r="C197">
            <v>0</v>
          </cell>
          <cell r="D197">
            <v>0</v>
          </cell>
          <cell r="E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A198">
            <v>120020063</v>
          </cell>
          <cell r="B198" t="str">
            <v>CITI INT &amp; CHARGES A/C  386</v>
          </cell>
          <cell r="C198">
            <v>0</v>
          </cell>
          <cell r="D198">
            <v>0</v>
          </cell>
          <cell r="E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A199">
            <v>120020064</v>
          </cell>
          <cell r="B199" t="str">
            <v>CITI OPERATING GBP  A/C   LOND</v>
          </cell>
          <cell r="C199">
            <v>0</v>
          </cell>
          <cell r="D199">
            <v>0</v>
          </cell>
          <cell r="E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A200">
            <v>120020065</v>
          </cell>
          <cell r="B200" t="str">
            <v>CITI OPERATING EUR  A/C  496</v>
          </cell>
          <cell r="C200">
            <v>0</v>
          </cell>
          <cell r="D200">
            <v>0</v>
          </cell>
          <cell r="E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A201">
            <v>120020067</v>
          </cell>
          <cell r="B201" t="str">
            <v>JPMORGAN INT &amp; CHGS USD 288</v>
          </cell>
          <cell r="C201">
            <v>0</v>
          </cell>
          <cell r="D201">
            <v>0</v>
          </cell>
          <cell r="E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A202">
            <v>120020069</v>
          </cell>
          <cell r="B202" t="str">
            <v>SCB USD INT &amp; CHRGS USD</v>
          </cell>
          <cell r="C202">
            <v>0</v>
          </cell>
          <cell r="D202">
            <v>0</v>
          </cell>
          <cell r="E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A203">
            <v>120020070</v>
          </cell>
          <cell r="B203" t="str">
            <v>FIRST BANK UK-EUR INT &amp; CHRGS</v>
          </cell>
          <cell r="C203">
            <v>0</v>
          </cell>
          <cell r="D203">
            <v>0</v>
          </cell>
          <cell r="E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A204">
            <v>120020071</v>
          </cell>
          <cell r="B204" t="str">
            <v>FIRST BANK UK-USD EXPORT</v>
          </cell>
          <cell r="C204">
            <v>0</v>
          </cell>
          <cell r="D204">
            <v>0</v>
          </cell>
          <cell r="E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A205">
            <v>120020073</v>
          </cell>
          <cell r="B205" t="str">
            <v>NORDEA BANK SWEDEN OPERATING A/C</v>
          </cell>
          <cell r="C205">
            <v>0</v>
          </cell>
          <cell r="D205">
            <v>0</v>
          </cell>
          <cell r="E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A206">
            <v>120020074</v>
          </cell>
          <cell r="B206" t="str">
            <v>FIRST BANK CNY CASH COLLATERAL A</v>
          </cell>
          <cell r="C206">
            <v>0</v>
          </cell>
          <cell r="D206">
            <v>0</v>
          </cell>
          <cell r="E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A207">
            <v>120020075</v>
          </cell>
          <cell r="B207" t="str">
            <v>JP MORGAN OPERATING ACCOUNT</v>
          </cell>
          <cell r="C207">
            <v>0</v>
          </cell>
          <cell r="D207">
            <v>0</v>
          </cell>
          <cell r="E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A208">
            <v>120020076</v>
          </cell>
          <cell r="B208" t="str">
            <v>CITI BANK DUBLIN CASH COLL ACCOU</v>
          </cell>
          <cell r="C208">
            <v>0</v>
          </cell>
          <cell r="D208">
            <v>0</v>
          </cell>
          <cell r="E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A209">
            <v>120020077</v>
          </cell>
          <cell r="B209" t="str">
            <v>BYBLOS BANK LONDON OPERATING ACC</v>
          </cell>
          <cell r="C209">
            <v>0</v>
          </cell>
          <cell r="D209">
            <v>0</v>
          </cell>
          <cell r="E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A210">
            <v>120020082</v>
          </cell>
          <cell r="B210" t="str">
            <v>MAURITIOUS COMM BANK CASH COLLAT</v>
          </cell>
          <cell r="C210">
            <v>0</v>
          </cell>
          <cell r="D210">
            <v>0</v>
          </cell>
          <cell r="E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A211">
            <v>120021001</v>
          </cell>
          <cell r="B211" t="str">
            <v>COLLATERIZED CARD A/C-UNTD OVERS</v>
          </cell>
          <cell r="C211">
            <v>0</v>
          </cell>
          <cell r="D211">
            <v>2332325174</v>
          </cell>
          <cell r="E211">
            <v>2332325174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2332325174</v>
          </cell>
          <cell r="T211">
            <v>2332325174</v>
          </cell>
        </row>
        <row r="212">
          <cell r="A212">
            <v>120021002</v>
          </cell>
          <cell r="B212" t="str">
            <v>JP MORGAN USA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A213">
            <v>120021003</v>
          </cell>
          <cell r="B213" t="str">
            <v>COLLATERIZED CARD A//C- PNC BANK</v>
          </cell>
          <cell r="C213">
            <v>0</v>
          </cell>
          <cell r="D213">
            <v>3442724232.3699999</v>
          </cell>
          <cell r="E213">
            <v>3442724232.3699999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3442724232.3699999</v>
          </cell>
          <cell r="T213">
            <v>3442724232.3699999</v>
          </cell>
        </row>
        <row r="214">
          <cell r="A214">
            <v>120021004</v>
          </cell>
          <cell r="B214" t="str">
            <v>AKTIF BANK ISTANBUL</v>
          </cell>
          <cell r="C214">
            <v>0</v>
          </cell>
          <cell r="D214">
            <v>31641330.91</v>
          </cell>
          <cell r="E214">
            <v>31641330.91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31641330.91</v>
          </cell>
          <cell r="T214">
            <v>31641330.91</v>
          </cell>
        </row>
        <row r="215">
          <cell r="A215">
            <v>120021005</v>
          </cell>
          <cell r="B215" t="str">
            <v>FIRST BANK UK- LOAN REPAYMENT AC</v>
          </cell>
          <cell r="C215">
            <v>0</v>
          </cell>
          <cell r="D215">
            <v>0</v>
          </cell>
          <cell r="E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A216">
            <v>120021006</v>
          </cell>
          <cell r="B216" t="str">
            <v>CITI BANK CNY ACCOUNT (CNY)</v>
          </cell>
          <cell r="C216">
            <v>0</v>
          </cell>
          <cell r="D216">
            <v>0</v>
          </cell>
          <cell r="E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A217">
            <v>120021007</v>
          </cell>
          <cell r="B217" t="str">
            <v>BANK BHF CNY ACCOUNT (CNY)</v>
          </cell>
          <cell r="C217">
            <v>0</v>
          </cell>
          <cell r="D217">
            <v>5930.75</v>
          </cell>
          <cell r="E217">
            <v>5930.75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5930.75</v>
          </cell>
          <cell r="T217">
            <v>5930.75</v>
          </cell>
        </row>
        <row r="218">
          <cell r="A218">
            <v>120021008</v>
          </cell>
          <cell r="B218" t="str">
            <v>FIRST BANK UK-GBP- FEES AND CHAR</v>
          </cell>
          <cell r="C218">
            <v>0</v>
          </cell>
          <cell r="D218">
            <v>2638.76</v>
          </cell>
          <cell r="E218">
            <v>2638.76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2638.76</v>
          </cell>
          <cell r="T218">
            <v>2638.76</v>
          </cell>
        </row>
        <row r="219">
          <cell r="A219">
            <v>120021009</v>
          </cell>
          <cell r="B219" t="str">
            <v>MASHREQ BANK NEW YORK (USD)</v>
          </cell>
          <cell r="C219">
            <v>0</v>
          </cell>
          <cell r="D219">
            <v>3109129449.0700002</v>
          </cell>
          <cell r="E219">
            <v>3109129449.0700002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3109129449.0700002</v>
          </cell>
          <cell r="T219">
            <v>3109129449.0700002</v>
          </cell>
        </row>
        <row r="220">
          <cell r="A220">
            <v>120021010</v>
          </cell>
          <cell r="B220" t="str">
            <v>FBN UK CNY INTEREST AND CHARGES</v>
          </cell>
          <cell r="C220">
            <v>0</v>
          </cell>
          <cell r="D220">
            <v>2627868.4900000002</v>
          </cell>
          <cell r="E220">
            <v>2627868.4900000002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2627868.4900000002</v>
          </cell>
          <cell r="T220">
            <v>2627868.4900000002</v>
          </cell>
        </row>
        <row r="221">
          <cell r="A221">
            <v>120021011</v>
          </cell>
          <cell r="B221" t="str">
            <v>ALINMA BANK OPERATING ACCT-SAUDI</v>
          </cell>
          <cell r="C221">
            <v>0</v>
          </cell>
          <cell r="D221">
            <v>0</v>
          </cell>
          <cell r="E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A222">
            <v>120021012</v>
          </cell>
          <cell r="B222" t="str">
            <v>FCMB BANK (UK) LTD MAIN ACCOUNT</v>
          </cell>
          <cell r="C222">
            <v>0</v>
          </cell>
          <cell r="D222">
            <v>143378339.06</v>
          </cell>
          <cell r="E222">
            <v>143378339.06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143378339.06</v>
          </cell>
          <cell r="T222">
            <v>143378339.06</v>
          </cell>
        </row>
        <row r="223">
          <cell r="A223">
            <v>120021013</v>
          </cell>
          <cell r="B223" t="str">
            <v>FCMB BANK (UK) LTD CASH COLLATER</v>
          </cell>
          <cell r="C223">
            <v>0</v>
          </cell>
          <cell r="D223">
            <v>2023171993.03</v>
          </cell>
          <cell r="E223">
            <v>2023171993.03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2023171993.03</v>
          </cell>
          <cell r="T223">
            <v>2023171993.03</v>
          </cell>
        </row>
        <row r="224">
          <cell r="A224">
            <v>120021014</v>
          </cell>
          <cell r="B224" t="str">
            <v>SCB GBP COLL LONDON</v>
          </cell>
          <cell r="C224">
            <v>0</v>
          </cell>
          <cell r="D224">
            <v>38018709.899999999</v>
          </cell>
          <cell r="E224">
            <v>38018709.899999999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38018709.899999999</v>
          </cell>
          <cell r="T224">
            <v>38018709.899999999</v>
          </cell>
        </row>
        <row r="225">
          <cell r="A225">
            <v>120021015</v>
          </cell>
          <cell r="B225" t="str">
            <v>SCB CALL A/C LONDON</v>
          </cell>
          <cell r="C225">
            <v>0</v>
          </cell>
          <cell r="D225">
            <v>2479723015.3099999</v>
          </cell>
          <cell r="E225">
            <v>2479723015.3099999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2479723015.3099999</v>
          </cell>
          <cell r="T225">
            <v>2479723015.3099999</v>
          </cell>
        </row>
        <row r="226">
          <cell r="A226">
            <v>120021016</v>
          </cell>
          <cell r="B226" t="str">
            <v>SCB EURO CALL LONDON</v>
          </cell>
          <cell r="C226">
            <v>0</v>
          </cell>
          <cell r="D226">
            <v>673035884.94000006</v>
          </cell>
          <cell r="E226">
            <v>673035884.94000006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673035884.94000006</v>
          </cell>
          <cell r="T226">
            <v>673035884.94000006</v>
          </cell>
        </row>
        <row r="227">
          <cell r="A227">
            <v>120021017</v>
          </cell>
          <cell r="B227" t="str">
            <v>FIRST BANK UK USD INT &amp; CHARGES</v>
          </cell>
          <cell r="C227">
            <v>0</v>
          </cell>
          <cell r="D227">
            <v>1164486392.28</v>
          </cell>
          <cell r="E227">
            <v>1164486392.28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1164486392.28</v>
          </cell>
          <cell r="T227">
            <v>1164486392.28</v>
          </cell>
        </row>
        <row r="228">
          <cell r="A228">
            <v>120021018</v>
          </cell>
          <cell r="B228" t="str">
            <v>FIRST BANK USD CASH COVER  LONDO</v>
          </cell>
          <cell r="C228">
            <v>0</v>
          </cell>
          <cell r="D228">
            <v>1109482739.1400001</v>
          </cell>
          <cell r="E228">
            <v>1109482739.1400001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1109482739.1400001</v>
          </cell>
          <cell r="T228">
            <v>1109482739.1400001</v>
          </cell>
        </row>
        <row r="229">
          <cell r="A229">
            <v>120021019</v>
          </cell>
          <cell r="B229" t="str">
            <v>BANK OF BEIRUT GBP DOM ACCT LOND</v>
          </cell>
          <cell r="C229">
            <v>0</v>
          </cell>
          <cell r="D229">
            <v>274021961.68000001</v>
          </cell>
          <cell r="E229">
            <v>274021961.68000001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274021961.68000001</v>
          </cell>
          <cell r="T229">
            <v>274021961.68000001</v>
          </cell>
        </row>
        <row r="230">
          <cell r="A230">
            <v>120021020</v>
          </cell>
          <cell r="B230" t="str">
            <v>AFREXIM UNION MONEY TRANSFER USD</v>
          </cell>
          <cell r="C230">
            <v>0</v>
          </cell>
          <cell r="D230">
            <v>142620</v>
          </cell>
          <cell r="E230">
            <v>142620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142620</v>
          </cell>
          <cell r="T230">
            <v>142620</v>
          </cell>
        </row>
        <row r="231">
          <cell r="A231">
            <v>120021021</v>
          </cell>
          <cell r="B231" t="str">
            <v>SCB INT &amp; CHGS EUR LONDON</v>
          </cell>
          <cell r="C231">
            <v>0</v>
          </cell>
          <cell r="D231">
            <v>1147108.52</v>
          </cell>
          <cell r="E231">
            <v>1147108.52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1147108.52</v>
          </cell>
          <cell r="T231">
            <v>1147108.52</v>
          </cell>
        </row>
        <row r="232">
          <cell r="A232">
            <v>120021022</v>
          </cell>
          <cell r="B232" t="str">
            <v>SCB USD DOM LONDON</v>
          </cell>
          <cell r="C232">
            <v>0</v>
          </cell>
          <cell r="D232">
            <v>1774215947.23</v>
          </cell>
          <cell r="E232">
            <v>1774215947.23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1774215947.23</v>
          </cell>
          <cell r="T232">
            <v>1774215947.23</v>
          </cell>
        </row>
        <row r="233">
          <cell r="A233" t="str">
            <v>_x0012_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C235" t="str">
            <v>Polaris Bank Limited, N</v>
          </cell>
          <cell r="D235" t="str">
            <v>igeria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C236" t="str">
            <v>** Consolidated Balance Shee</v>
          </cell>
          <cell r="D236" t="str">
            <v>t CBN **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C238" t="str">
            <v>As on :     31-OCT-2025</v>
          </cell>
          <cell r="E238" t="str">
            <v>Page   :   5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User Id :</v>
          </cell>
          <cell r="B240" t="str">
            <v>SYSTEM</v>
          </cell>
          <cell r="C240" t="str">
            <v>Date 1 Time :     01-NOV-2025</v>
          </cell>
          <cell r="D240">
            <v>0.21625000000000003</v>
          </cell>
          <cell r="E240" t="str">
            <v>Module :   GL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A241" t="str">
            <v>----------</v>
          </cell>
          <cell r="B241" t="str">
            <v>----------------------------------------</v>
          </cell>
          <cell r="C241" t="str">
            <v>------------------------------</v>
          </cell>
          <cell r="D241" t="str">
            <v>------------------------------</v>
          </cell>
          <cell r="E241" t="str">
            <v>----------------------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A242" t="str">
            <v>GL Code</v>
          </cell>
          <cell r="B242" t="str">
            <v>Description</v>
          </cell>
          <cell r="C242" t="str">
            <v>LCY Amount</v>
          </cell>
          <cell r="D242" t="str">
            <v>FCY Amount (Lcy Eq)</v>
          </cell>
          <cell r="E242" t="str">
            <v>Total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----------</v>
          </cell>
          <cell r="B244" t="str">
            <v>----------------------------------------</v>
          </cell>
          <cell r="C244" t="str">
            <v>------------------------------</v>
          </cell>
          <cell r="D244" t="str">
            <v>------------------------------</v>
          </cell>
          <cell r="E244" t="str">
            <v>----------------------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Asset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A247">
            <v>120021023</v>
          </cell>
          <cell r="B247" t="str">
            <v>SCB GBP DOM LONDON</v>
          </cell>
          <cell r="C247">
            <v>0</v>
          </cell>
          <cell r="D247">
            <v>9295982642.3999996</v>
          </cell>
          <cell r="E247">
            <v>9295982642.3999996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9295982642.3999996</v>
          </cell>
          <cell r="T247">
            <v>9295982642.3999996</v>
          </cell>
        </row>
        <row r="248">
          <cell r="A248">
            <v>120021024</v>
          </cell>
          <cell r="B248" t="str">
            <v>SCB EURO DOM LONDON</v>
          </cell>
          <cell r="C248">
            <v>0</v>
          </cell>
          <cell r="D248">
            <v>10524867349.129999</v>
          </cell>
          <cell r="E248">
            <v>10524867349.129999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10524867349.129999</v>
          </cell>
          <cell r="T248">
            <v>10524867349.129999</v>
          </cell>
        </row>
        <row r="249">
          <cell r="A249">
            <v>120021025</v>
          </cell>
          <cell r="B249" t="str">
            <v>SCB USD TRADING LONDON</v>
          </cell>
          <cell r="C249">
            <v>0</v>
          </cell>
          <cell r="D249">
            <v>17097998671.48</v>
          </cell>
          <cell r="E249">
            <v>17097998671.48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17097998671.48</v>
          </cell>
          <cell r="T249">
            <v>17097998671.48</v>
          </cell>
        </row>
        <row r="250">
          <cell r="A250">
            <v>120021026</v>
          </cell>
          <cell r="B250" t="str">
            <v>SCB GBP TRADING LONDON</v>
          </cell>
          <cell r="C250">
            <v>0</v>
          </cell>
          <cell r="D250">
            <v>82391194.930000007</v>
          </cell>
          <cell r="E250">
            <v>82391194.930000007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82391194.930000007</v>
          </cell>
          <cell r="T250">
            <v>82391194.930000007</v>
          </cell>
        </row>
        <row r="251">
          <cell r="A251">
            <v>120021027</v>
          </cell>
          <cell r="B251" t="str">
            <v>SCB EURO TRADING LONDON</v>
          </cell>
          <cell r="C251">
            <v>0</v>
          </cell>
          <cell r="D251">
            <v>48825298.68</v>
          </cell>
          <cell r="E251">
            <v>48825298.68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48825298.68</v>
          </cell>
          <cell r="T251">
            <v>48825298.68</v>
          </cell>
        </row>
        <row r="252">
          <cell r="A252">
            <v>120021028</v>
          </cell>
          <cell r="B252" t="str">
            <v>UBA EXP DOM USD NY USA</v>
          </cell>
          <cell r="C252">
            <v>0</v>
          </cell>
          <cell r="D252">
            <v>327045344.88</v>
          </cell>
          <cell r="E252">
            <v>327045344.88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327045344.88</v>
          </cell>
          <cell r="T252">
            <v>327045344.88</v>
          </cell>
        </row>
        <row r="253">
          <cell r="A253">
            <v>120021029</v>
          </cell>
          <cell r="B253" t="str">
            <v>POLARIS COMMERZBANK CASH COLLA A</v>
          </cell>
          <cell r="C253">
            <v>0</v>
          </cell>
          <cell r="D253">
            <v>0</v>
          </cell>
          <cell r="E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A254">
            <v>120021030</v>
          </cell>
          <cell r="B254" t="str">
            <v>JP MORGAN  DOM  NEW YORK USA</v>
          </cell>
          <cell r="C254">
            <v>0</v>
          </cell>
          <cell r="D254">
            <v>0</v>
          </cell>
          <cell r="E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A255">
            <v>120021031</v>
          </cell>
          <cell r="B255" t="str">
            <v>AFREXIM MONEY GRAM USD</v>
          </cell>
          <cell r="C255">
            <v>0</v>
          </cell>
          <cell r="D255">
            <v>104475525.11</v>
          </cell>
          <cell r="E255">
            <v>104475525.11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104475525.11</v>
          </cell>
          <cell r="T255">
            <v>104475525.11</v>
          </cell>
        </row>
        <row r="256">
          <cell r="A256">
            <v>120021032</v>
          </cell>
          <cell r="B256" t="str">
            <v>BANQUE LIBANO-FRANCAISE USD CASH</v>
          </cell>
          <cell r="C256">
            <v>0</v>
          </cell>
          <cell r="D256">
            <v>0</v>
          </cell>
          <cell r="E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A257">
            <v>120021033</v>
          </cell>
          <cell r="B257" t="str">
            <v>AFREXIM EXPORTS PROCEEDS USD</v>
          </cell>
          <cell r="C257">
            <v>0</v>
          </cell>
          <cell r="D257">
            <v>142620</v>
          </cell>
          <cell r="E257">
            <v>142620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142620</v>
          </cell>
          <cell r="T257">
            <v>142620</v>
          </cell>
        </row>
        <row r="258">
          <cell r="A258">
            <v>120021034</v>
          </cell>
          <cell r="B258" t="str">
            <v>CITI BANK CASH COLL USD  NEW YOR</v>
          </cell>
          <cell r="C258">
            <v>0</v>
          </cell>
          <cell r="D258">
            <v>0</v>
          </cell>
          <cell r="E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A259">
            <v>120021035</v>
          </cell>
          <cell r="B259" t="str">
            <v>SCB US EXPORT PROCEEDS ACCOUNT U</v>
          </cell>
          <cell r="C259">
            <v>0</v>
          </cell>
          <cell r="D259">
            <v>6281731315.8699999</v>
          </cell>
          <cell r="E259">
            <v>6281731315.8699999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6281731315.8699999</v>
          </cell>
          <cell r="T259">
            <v>6281731315.8699999</v>
          </cell>
        </row>
        <row r="260">
          <cell r="A260">
            <v>120021036</v>
          </cell>
          <cell r="B260" t="str">
            <v>SCB  DOM USD NEW YORK USA</v>
          </cell>
          <cell r="C260">
            <v>0</v>
          </cell>
          <cell r="D260">
            <v>29988767000.900002</v>
          </cell>
          <cell r="E260">
            <v>29988767000.900002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29988767000.900002</v>
          </cell>
          <cell r="T260">
            <v>29988767000.900002</v>
          </cell>
        </row>
        <row r="261">
          <cell r="A261">
            <v>120021037</v>
          </cell>
          <cell r="B261" t="str">
            <v>PAPSS INSTANT PAYMENT USD</v>
          </cell>
          <cell r="C261">
            <v>0</v>
          </cell>
          <cell r="D261">
            <v>30625334.559999999</v>
          </cell>
          <cell r="E261">
            <v>30625334.559999999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30625334.559999999</v>
          </cell>
          <cell r="T261">
            <v>30625334.559999999</v>
          </cell>
        </row>
        <row r="262">
          <cell r="A262">
            <v>120021039</v>
          </cell>
          <cell r="B262" t="str">
            <v>COMMERZBANK OPERATING A/C</v>
          </cell>
          <cell r="C262">
            <v>0</v>
          </cell>
          <cell r="D262">
            <v>0</v>
          </cell>
          <cell r="E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A263">
            <v>120021040</v>
          </cell>
          <cell r="B263" t="str">
            <v>GTB LONDON</v>
          </cell>
          <cell r="C263">
            <v>0</v>
          </cell>
          <cell r="D263">
            <v>0</v>
          </cell>
          <cell r="E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>
            <v>120021041</v>
          </cell>
          <cell r="B264" t="str">
            <v>FX PLACEMENT ACCOUNT</v>
          </cell>
          <cell r="C264">
            <v>0</v>
          </cell>
          <cell r="D264">
            <v>9879135937.5599995</v>
          </cell>
          <cell r="E264">
            <v>9879135937.5599995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9879135937.5599995</v>
          </cell>
          <cell r="T264">
            <v>9879135937.5599995</v>
          </cell>
        </row>
        <row r="265">
          <cell r="A265">
            <v>120021042</v>
          </cell>
          <cell r="B265" t="str">
            <v>BANK OF BEIRUT OPERATING ACCT  L</v>
          </cell>
          <cell r="C265">
            <v>0</v>
          </cell>
          <cell r="D265">
            <v>12223575.130000001</v>
          </cell>
          <cell r="E265">
            <v>12223575.130000001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12223575.130000001</v>
          </cell>
          <cell r="T265">
            <v>12223575.130000001</v>
          </cell>
        </row>
        <row r="266">
          <cell r="A266">
            <v>120021043</v>
          </cell>
          <cell r="B266" t="str">
            <v>BANK OF BEIRUT USD LONDON</v>
          </cell>
          <cell r="C266">
            <v>0</v>
          </cell>
          <cell r="D266">
            <v>0</v>
          </cell>
          <cell r="E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A267">
            <v>120021044</v>
          </cell>
          <cell r="B267" t="str">
            <v>FIRST BANK OPERATING AC LONDON</v>
          </cell>
          <cell r="C267">
            <v>0</v>
          </cell>
          <cell r="D267">
            <v>1825784615.1800001</v>
          </cell>
          <cell r="E267">
            <v>1825784615.1800001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1825784615.1800001</v>
          </cell>
          <cell r="T267">
            <v>1825784615.1800001</v>
          </cell>
        </row>
        <row r="268">
          <cell r="A268">
            <v>120021045</v>
          </cell>
          <cell r="B268" t="str">
            <v>BHF EURO DOM</v>
          </cell>
          <cell r="C268">
            <v>0</v>
          </cell>
          <cell r="D268">
            <v>1651669.22</v>
          </cell>
          <cell r="E268">
            <v>1651669.22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1651669.22</v>
          </cell>
          <cell r="T268">
            <v>1651669.22</v>
          </cell>
        </row>
        <row r="269">
          <cell r="A269">
            <v>120021046</v>
          </cell>
          <cell r="B269" t="str">
            <v>CITI GBP LONDON DOMLONDON</v>
          </cell>
          <cell r="C269">
            <v>0</v>
          </cell>
          <cell r="D269">
            <v>0</v>
          </cell>
          <cell r="E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A270">
            <v>120021047</v>
          </cell>
          <cell r="B270" t="str">
            <v>SVESKA HANDEEBANKIN SWEDEN OPERA</v>
          </cell>
          <cell r="C270">
            <v>0</v>
          </cell>
          <cell r="D270">
            <v>0</v>
          </cell>
          <cell r="E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A271">
            <v>120021048</v>
          </cell>
          <cell r="B271" t="str">
            <v>SVESKA HANDEEBANKIN SWEDEN CALL</v>
          </cell>
          <cell r="C271">
            <v>0</v>
          </cell>
          <cell r="D271">
            <v>0</v>
          </cell>
          <cell r="E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A272">
            <v>120021050</v>
          </cell>
          <cell r="B272" t="str">
            <v>UNION BANK LONDON</v>
          </cell>
          <cell r="C272">
            <v>0</v>
          </cell>
          <cell r="D272">
            <v>113532.17</v>
          </cell>
          <cell r="E272">
            <v>113532.17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113532.17</v>
          </cell>
          <cell r="T272">
            <v>113532.17</v>
          </cell>
        </row>
        <row r="273">
          <cell r="A273">
            <v>120021051</v>
          </cell>
          <cell r="B273" t="str">
            <v>FIRST BANK EUR OPERATING AC LOND</v>
          </cell>
          <cell r="C273">
            <v>0</v>
          </cell>
          <cell r="D273">
            <v>129239885.08</v>
          </cell>
          <cell r="E273">
            <v>129239885.08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129239885.08</v>
          </cell>
          <cell r="T273">
            <v>129239885.08</v>
          </cell>
        </row>
        <row r="274">
          <cell r="A274">
            <v>120021052</v>
          </cell>
          <cell r="B274" t="str">
            <v>DEUTSCHE FRANFURT SETTLEMENT ACC</v>
          </cell>
          <cell r="C274">
            <v>0</v>
          </cell>
          <cell r="D274">
            <v>0</v>
          </cell>
          <cell r="E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A275">
            <v>120021053</v>
          </cell>
          <cell r="B275" t="str">
            <v>SMBCE USD OPERATING A/C LONDON</v>
          </cell>
          <cell r="C275">
            <v>0</v>
          </cell>
          <cell r="D275">
            <v>0</v>
          </cell>
          <cell r="E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>
            <v>120021054</v>
          </cell>
          <cell r="B276" t="str">
            <v>CREDIT SUISSE SWITZERLAND</v>
          </cell>
          <cell r="C276">
            <v>0</v>
          </cell>
          <cell r="D276">
            <v>0</v>
          </cell>
          <cell r="E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A277">
            <v>120021055</v>
          </cell>
          <cell r="B277" t="str">
            <v>FIDBANK UK USD CASH COLL</v>
          </cell>
          <cell r="C277">
            <v>0</v>
          </cell>
          <cell r="D277">
            <v>0</v>
          </cell>
          <cell r="E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A278">
            <v>120021056</v>
          </cell>
          <cell r="B278" t="str">
            <v>ACCESS BANK USD OPERATING A/C  L</v>
          </cell>
          <cell r="C278">
            <v>0</v>
          </cell>
          <cell r="D278">
            <v>142313538.13999999</v>
          </cell>
          <cell r="E278">
            <v>142313538.13999999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142313538.13999999</v>
          </cell>
          <cell r="T278">
            <v>142313538.13999999</v>
          </cell>
        </row>
        <row r="279">
          <cell r="A279">
            <v>120021057</v>
          </cell>
          <cell r="B279" t="str">
            <v>ACCESS BANK USD CASH COLL LONDON</v>
          </cell>
          <cell r="C279">
            <v>0</v>
          </cell>
          <cell r="D279">
            <v>773458780.67999995</v>
          </cell>
          <cell r="E279">
            <v>773458780.67999995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773458780.67999995</v>
          </cell>
          <cell r="T279">
            <v>773458780.67999995</v>
          </cell>
        </row>
        <row r="280">
          <cell r="A280">
            <v>120021058</v>
          </cell>
          <cell r="B280" t="str">
            <v>ZENITH BANK OPERATING A/C LONDON</v>
          </cell>
          <cell r="C280">
            <v>0</v>
          </cell>
          <cell r="D280">
            <v>1856947769.76</v>
          </cell>
          <cell r="E280">
            <v>1856947769.76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1856947769.76</v>
          </cell>
          <cell r="T280">
            <v>1856947769.76</v>
          </cell>
        </row>
        <row r="281">
          <cell r="A281">
            <v>120021059</v>
          </cell>
          <cell r="B281" t="str">
            <v>COMMERZ OFF SHORE DOM  A/C400880</v>
          </cell>
          <cell r="C281">
            <v>0</v>
          </cell>
          <cell r="D281">
            <v>0</v>
          </cell>
          <cell r="E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A282">
            <v>120021060</v>
          </cell>
          <cell r="B282" t="str">
            <v>COMMERZ NON EXP  400880136701</v>
          </cell>
          <cell r="C282">
            <v>0</v>
          </cell>
          <cell r="D282">
            <v>0</v>
          </cell>
          <cell r="E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A283">
            <v>120021061</v>
          </cell>
          <cell r="B283" t="str">
            <v>BANK OF BEIRUT EUR INT &amp; CHGS LO</v>
          </cell>
          <cell r="C283">
            <v>0</v>
          </cell>
          <cell r="D283">
            <v>5693564.4000000004</v>
          </cell>
          <cell r="E283">
            <v>5693564.4000000004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5693564.4000000004</v>
          </cell>
          <cell r="T283">
            <v>5693564.4000000004</v>
          </cell>
        </row>
        <row r="284">
          <cell r="A284">
            <v>120021062</v>
          </cell>
          <cell r="B284" t="str">
            <v>UBA NY EXPORT PROCEEDS ACCOUNT</v>
          </cell>
          <cell r="C284">
            <v>0</v>
          </cell>
          <cell r="D284">
            <v>655579000.76999998</v>
          </cell>
          <cell r="E284">
            <v>655579000.76999998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655579000.76999998</v>
          </cell>
          <cell r="T284">
            <v>655579000.76999998</v>
          </cell>
        </row>
        <row r="285">
          <cell r="A285">
            <v>120021063</v>
          </cell>
          <cell r="B285" t="str">
            <v>CITI INT &amp; CHARGES A/C  386</v>
          </cell>
          <cell r="C285">
            <v>0</v>
          </cell>
          <cell r="D285">
            <v>0</v>
          </cell>
          <cell r="E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A286">
            <v>120021064</v>
          </cell>
          <cell r="B286" t="str">
            <v>CITI BANK OPERATING GBP AC LONDO</v>
          </cell>
          <cell r="C286">
            <v>0</v>
          </cell>
          <cell r="D286">
            <v>0</v>
          </cell>
          <cell r="E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>
            <v>120021065</v>
          </cell>
          <cell r="B287" t="str">
            <v>FIDBANK UK EUR OPERATING</v>
          </cell>
          <cell r="C287">
            <v>0</v>
          </cell>
          <cell r="D287">
            <v>0</v>
          </cell>
          <cell r="E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A288">
            <v>120021067</v>
          </cell>
          <cell r="B288" t="str">
            <v>JP MORGAN INT &amp; CHGS USD  NY USA</v>
          </cell>
          <cell r="C288">
            <v>0</v>
          </cell>
          <cell r="D288">
            <v>0</v>
          </cell>
          <cell r="E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A289">
            <v>120021068</v>
          </cell>
          <cell r="B289" t="str">
            <v>BANK OF BEIRUT CALL LONDON</v>
          </cell>
          <cell r="C289">
            <v>0</v>
          </cell>
          <cell r="D289">
            <v>0</v>
          </cell>
          <cell r="E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A290">
            <v>120021069</v>
          </cell>
          <cell r="B290" t="str">
            <v>SCB USD MAIN OPERATING A/C</v>
          </cell>
          <cell r="C290">
            <v>0</v>
          </cell>
          <cell r="D290">
            <v>2307527948.6900001</v>
          </cell>
          <cell r="E290">
            <v>2307527948.6900001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2307527948.6900001</v>
          </cell>
          <cell r="T290">
            <v>2307527948.6900001</v>
          </cell>
        </row>
        <row r="291">
          <cell r="A291" t="str">
            <v>_x0012_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C293" t="str">
            <v>Polaris Bank Limited, N</v>
          </cell>
          <cell r="D293" t="str">
            <v>igeria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C294" t="str">
            <v>** Consolidated Balance Shee</v>
          </cell>
          <cell r="D294" t="str">
            <v>t CBN **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C296" t="str">
            <v>As on :     31-OCT-2025</v>
          </cell>
          <cell r="E296" t="str">
            <v>Page   :   6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A298" t="str">
            <v>User Id :</v>
          </cell>
          <cell r="B298" t="str">
            <v>SYSTEM</v>
          </cell>
          <cell r="C298" t="str">
            <v>Date 1 Time :     01-NOV-2025</v>
          </cell>
          <cell r="D298">
            <v>0.21625000000000003</v>
          </cell>
          <cell r="E298" t="str">
            <v>Module :   GL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A299" t="str">
            <v>----------</v>
          </cell>
          <cell r="B299" t="str">
            <v>----------------------------------------</v>
          </cell>
          <cell r="C299" t="str">
            <v>------------------------------</v>
          </cell>
          <cell r="D299" t="str">
            <v>------------------------------</v>
          </cell>
          <cell r="E299" t="str">
            <v>----------------------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A300" t="str">
            <v>GL Code</v>
          </cell>
          <cell r="B300" t="str">
            <v>Description</v>
          </cell>
          <cell r="C300" t="str">
            <v>LCY Amount</v>
          </cell>
          <cell r="D300" t="str">
            <v>FCY Amount (Lcy Eq)</v>
          </cell>
          <cell r="E300" t="str">
            <v>Total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----------</v>
          </cell>
          <cell r="B302" t="str">
            <v>----------------------------------------</v>
          </cell>
          <cell r="C302" t="str">
            <v>------------------------------</v>
          </cell>
          <cell r="D302" t="str">
            <v>------------------------------</v>
          </cell>
          <cell r="E302" t="str">
            <v>----------------------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Asset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>
            <v>120021070</v>
          </cell>
          <cell r="B305" t="str">
            <v>FIRST BANK INT &amp; CHGS AC LONDON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A306">
            <v>120021071</v>
          </cell>
          <cell r="B306" t="str">
            <v>FIRST BANK USD EXP AC LONDON</v>
          </cell>
          <cell r="C306">
            <v>0</v>
          </cell>
          <cell r="D306">
            <v>27311.73</v>
          </cell>
          <cell r="E306">
            <v>27311.73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27311.73</v>
          </cell>
          <cell r="T306">
            <v>27311.73</v>
          </cell>
        </row>
        <row r="307">
          <cell r="A307">
            <v>120021072</v>
          </cell>
          <cell r="B307" t="str">
            <v>STANDARD BANK OF SOUTH AFRICA CA</v>
          </cell>
          <cell r="C307">
            <v>0</v>
          </cell>
          <cell r="D307">
            <v>0</v>
          </cell>
          <cell r="E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A308">
            <v>120021073</v>
          </cell>
          <cell r="B308" t="str">
            <v>NORDEA BANK SWEDEN OPERATING A/C</v>
          </cell>
          <cell r="C308">
            <v>0</v>
          </cell>
          <cell r="D308">
            <v>0</v>
          </cell>
          <cell r="E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A309">
            <v>120021074</v>
          </cell>
          <cell r="B309" t="str">
            <v>FIRST BANK CNY CASH COLLATERAL A</v>
          </cell>
          <cell r="C309">
            <v>0</v>
          </cell>
          <cell r="D309">
            <v>274801172.89999998</v>
          </cell>
          <cell r="E309">
            <v>274801172.89999998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274801172.89999998</v>
          </cell>
          <cell r="T309">
            <v>274801172.89999998</v>
          </cell>
        </row>
        <row r="310">
          <cell r="A310">
            <v>120021075</v>
          </cell>
          <cell r="B310" t="str">
            <v>JP MORGAN OPERATING AC LONDON</v>
          </cell>
          <cell r="C310">
            <v>0</v>
          </cell>
          <cell r="D310">
            <v>0</v>
          </cell>
          <cell r="E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A311">
            <v>120021076</v>
          </cell>
          <cell r="B311" t="str">
            <v>CITI BANK CASH COLL ACC LONDON</v>
          </cell>
          <cell r="C311">
            <v>0</v>
          </cell>
          <cell r="D311">
            <v>0</v>
          </cell>
          <cell r="E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A312">
            <v>120021077</v>
          </cell>
          <cell r="B312" t="str">
            <v>ACCESS BANK LTD OPERATING ACC EU</v>
          </cell>
          <cell r="C312">
            <v>0</v>
          </cell>
          <cell r="D312">
            <v>164427</v>
          </cell>
          <cell r="E312">
            <v>164427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164427</v>
          </cell>
          <cell r="T312">
            <v>164427</v>
          </cell>
        </row>
        <row r="313">
          <cell r="A313">
            <v>120021078</v>
          </cell>
          <cell r="B313" t="str">
            <v>COMMERZ BANK INTEREST &amp; CHARGES</v>
          </cell>
          <cell r="C313">
            <v>0</v>
          </cell>
          <cell r="D313">
            <v>0</v>
          </cell>
          <cell r="E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A314">
            <v>120021080</v>
          </cell>
          <cell r="B314" t="str">
            <v>ACCESS BANK LTD CASH COLL INT.</v>
          </cell>
          <cell r="C314">
            <v>0</v>
          </cell>
          <cell r="D314">
            <v>496292496.94999999</v>
          </cell>
          <cell r="E314">
            <v>496292496.94999999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496292496.94999999</v>
          </cell>
          <cell r="T314">
            <v>496292496.94999999</v>
          </cell>
        </row>
        <row r="315">
          <cell r="A315">
            <v>120021081</v>
          </cell>
          <cell r="B315" t="str">
            <v>AFREXIM RIA USD</v>
          </cell>
          <cell r="C315">
            <v>0</v>
          </cell>
          <cell r="D315">
            <v>121088159.43000001</v>
          </cell>
          <cell r="E315">
            <v>121088159.43000001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121088159.43000001</v>
          </cell>
          <cell r="T315">
            <v>121088159.43000001</v>
          </cell>
        </row>
        <row r="316">
          <cell r="A316">
            <v>120021082</v>
          </cell>
          <cell r="B316" t="str">
            <v>SCB VISA SETLLEMENT ACCOUNT</v>
          </cell>
          <cell r="C316">
            <v>0</v>
          </cell>
          <cell r="D316">
            <v>0</v>
          </cell>
          <cell r="E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A317">
            <v>120021083</v>
          </cell>
          <cell r="B317" t="str">
            <v>ACCESS BANK LTD CASH COLL ACC</v>
          </cell>
          <cell r="C317">
            <v>0</v>
          </cell>
          <cell r="D317">
            <v>0</v>
          </cell>
          <cell r="E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>
            <v>120021084</v>
          </cell>
          <cell r="B318" t="str">
            <v>STANDARD BANK CASH COLL SOUTH AF</v>
          </cell>
          <cell r="C318">
            <v>0</v>
          </cell>
          <cell r="D318">
            <v>0</v>
          </cell>
          <cell r="E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A319">
            <v>120021085</v>
          </cell>
          <cell r="B319" t="str">
            <v>BANGUE LIBANO-FRANCAISE OPERATIN</v>
          </cell>
          <cell r="C319">
            <v>0</v>
          </cell>
          <cell r="D319">
            <v>2949994.87</v>
          </cell>
          <cell r="E319">
            <v>2949994.87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2949994.87</v>
          </cell>
          <cell r="T319">
            <v>2949994.87</v>
          </cell>
        </row>
        <row r="320">
          <cell r="A320">
            <v>120021086</v>
          </cell>
          <cell r="B320" t="str">
            <v>FIRSTRAND BANK OPERATING AC SOUT</v>
          </cell>
          <cell r="C320">
            <v>0</v>
          </cell>
          <cell r="D320">
            <v>-22116497</v>
          </cell>
          <cell r="E320">
            <v>-22116497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-22116497</v>
          </cell>
          <cell r="T320">
            <v>-22116497</v>
          </cell>
        </row>
        <row r="321">
          <cell r="A321">
            <v>120021089</v>
          </cell>
          <cell r="B321" t="str">
            <v>DB - ADVISED ONLY ACCOUNT</v>
          </cell>
          <cell r="C321">
            <v>0</v>
          </cell>
          <cell r="D321">
            <v>0</v>
          </cell>
          <cell r="E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A322">
            <v>120021090</v>
          </cell>
          <cell r="B322" t="str">
            <v>ACCESS BANK LON EUR OPERATING A/</v>
          </cell>
          <cell r="C322">
            <v>0</v>
          </cell>
          <cell r="D322">
            <v>0</v>
          </cell>
          <cell r="E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A323">
            <v>120021091</v>
          </cell>
          <cell r="B323" t="str">
            <v>ACCESS BANK LON EUR CASH COLL</v>
          </cell>
          <cell r="C323">
            <v>0</v>
          </cell>
          <cell r="D323">
            <v>0</v>
          </cell>
          <cell r="E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A324">
            <v>120021092</v>
          </cell>
          <cell r="B324" t="str">
            <v>AFREXIM VISA SETTLEMENT USD</v>
          </cell>
          <cell r="C324">
            <v>0</v>
          </cell>
          <cell r="D324">
            <v>1047374866.78</v>
          </cell>
          <cell r="E324">
            <v>1047374866.78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-144317619.546</v>
          </cell>
          <cell r="P324">
            <v>0</v>
          </cell>
          <cell r="Q324">
            <v>0</v>
          </cell>
          <cell r="R324">
            <v>0</v>
          </cell>
          <cell r="S324">
            <v>903057247.23399997</v>
          </cell>
          <cell r="T324">
            <v>903057247.23399997</v>
          </cell>
        </row>
        <row r="325">
          <cell r="A325">
            <v>120021094</v>
          </cell>
          <cell r="B325" t="str">
            <v>MBL - NOSTRO ASSET CONVERSION</v>
          </cell>
          <cell r="C325">
            <v>0</v>
          </cell>
          <cell r="D325">
            <v>0</v>
          </cell>
          <cell r="E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>
            <v>120021095</v>
          </cell>
          <cell r="B326" t="str">
            <v>STANDARD CHARTERED  (Frankfurt)</v>
          </cell>
          <cell r="C326">
            <v>0</v>
          </cell>
          <cell r="D326">
            <v>0</v>
          </cell>
          <cell r="E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A327">
            <v>120021096</v>
          </cell>
          <cell r="B327" t="str">
            <v>DEUTCHE BANK MASTERCARD BILLING</v>
          </cell>
          <cell r="C327">
            <v>0</v>
          </cell>
          <cell r="D327">
            <v>0</v>
          </cell>
          <cell r="E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A328">
            <v>120021097</v>
          </cell>
          <cell r="B328" t="str">
            <v>DEUTCHE BANK MASTERCARD SETTLEME</v>
          </cell>
          <cell r="C328">
            <v>0</v>
          </cell>
          <cell r="D328">
            <v>0</v>
          </cell>
          <cell r="E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>
            <v>120021098</v>
          </cell>
          <cell r="B329" t="str">
            <v>STANDARD CHARTERED (PZ  CHARGES)</v>
          </cell>
          <cell r="C329">
            <v>0</v>
          </cell>
          <cell r="D329">
            <v>0</v>
          </cell>
          <cell r="E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A330">
            <v>120021099</v>
          </cell>
          <cell r="B330" t="str">
            <v>STANDARD CHARTERED (London)-</v>
          </cell>
          <cell r="C330">
            <v>0</v>
          </cell>
          <cell r="D330">
            <v>0</v>
          </cell>
          <cell r="E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A331">
            <v>120021100</v>
          </cell>
          <cell r="B331" t="str">
            <v>ZENITH BANK LONDON</v>
          </cell>
          <cell r="C331">
            <v>0</v>
          </cell>
          <cell r="D331">
            <v>2500544479.9200001</v>
          </cell>
          <cell r="E331">
            <v>2500544479.9200001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2500544479.9200001</v>
          </cell>
          <cell r="T331">
            <v>2500544479.9200001</v>
          </cell>
        </row>
        <row r="332">
          <cell r="A332">
            <v>120021101</v>
          </cell>
          <cell r="B332" t="str">
            <v>ACCESS BANK INT A/C  LONDON</v>
          </cell>
          <cell r="C332">
            <v>0</v>
          </cell>
          <cell r="D332">
            <v>589990.42000000004</v>
          </cell>
          <cell r="E332">
            <v>589990.42000000004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589990.42000000004</v>
          </cell>
          <cell r="T332">
            <v>589990.42000000004</v>
          </cell>
        </row>
        <row r="333">
          <cell r="A333">
            <v>120021102</v>
          </cell>
          <cell r="B333" t="str">
            <v>BHF BANK OPERATING GERMANY</v>
          </cell>
          <cell r="C333">
            <v>0</v>
          </cell>
          <cell r="D333">
            <v>532901543.13999999</v>
          </cell>
          <cell r="E333">
            <v>532901543.13999999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532901543.13999999</v>
          </cell>
          <cell r="T333">
            <v>532901543.13999999</v>
          </cell>
        </row>
        <row r="334">
          <cell r="A334">
            <v>120021103</v>
          </cell>
          <cell r="B334" t="str">
            <v>BHF BANK CASH COLL GERMANY</v>
          </cell>
          <cell r="C334">
            <v>0</v>
          </cell>
          <cell r="D334">
            <v>9231581303.5100002</v>
          </cell>
          <cell r="E334">
            <v>9231581303.5100002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9231581303.5100002</v>
          </cell>
          <cell r="T334">
            <v>9231581303.5100002</v>
          </cell>
        </row>
        <row r="335">
          <cell r="A335">
            <v>120021108</v>
          </cell>
          <cell r="B335" t="str">
            <v>BANQUE LIBANO CNY OPERATING ACCO</v>
          </cell>
          <cell r="C335">
            <v>0</v>
          </cell>
          <cell r="D335">
            <v>3776200.61</v>
          </cell>
          <cell r="E335">
            <v>3776200.61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3776200.61</v>
          </cell>
          <cell r="T335">
            <v>3776200.61</v>
          </cell>
        </row>
        <row r="336">
          <cell r="A336">
            <v>120021109</v>
          </cell>
          <cell r="B336" t="str">
            <v>STANCHART CHINA SETTLEMENT ACC C</v>
          </cell>
          <cell r="C336">
            <v>0</v>
          </cell>
          <cell r="D336">
            <v>72042277.019999996</v>
          </cell>
          <cell r="E336">
            <v>72042277.019999996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72042277.019999996</v>
          </cell>
          <cell r="T336">
            <v>72042277.019999996</v>
          </cell>
        </row>
        <row r="337">
          <cell r="A337">
            <v>120021110</v>
          </cell>
          <cell r="B337" t="str">
            <v>FIRST BANK CNY OPERATING ACCOUNT</v>
          </cell>
          <cell r="C337">
            <v>0</v>
          </cell>
          <cell r="D337">
            <v>326684298.83999997</v>
          </cell>
          <cell r="E337">
            <v>326684298.83999997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326684298.83999997</v>
          </cell>
          <cell r="T337">
            <v>326684298.83999997</v>
          </cell>
        </row>
        <row r="338">
          <cell r="A338">
            <v>120021112</v>
          </cell>
          <cell r="B338" t="str">
            <v>UNITED BANK OF AFRICA CASH COLL</v>
          </cell>
          <cell r="C338">
            <v>0</v>
          </cell>
          <cell r="D338">
            <v>114.1</v>
          </cell>
          <cell r="E338">
            <v>114.1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114.1</v>
          </cell>
          <cell r="T338">
            <v>114.1</v>
          </cell>
        </row>
        <row r="339">
          <cell r="A339">
            <v>120030110</v>
          </cell>
          <cell r="B339" t="str">
            <v>INTERBANK PLACEMENTS   OVERNIGHT</v>
          </cell>
          <cell r="C339">
            <v>0</v>
          </cell>
          <cell r="D339">
            <v>0</v>
          </cell>
          <cell r="E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A340">
            <v>120030130</v>
          </cell>
          <cell r="B340" t="str">
            <v>INTERBANK PLACEMENTS   TIME</v>
          </cell>
          <cell r="C340">
            <v>0</v>
          </cell>
          <cell r="D340">
            <v>17114400000</v>
          </cell>
          <cell r="E340">
            <v>17114400000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17114400000</v>
          </cell>
          <cell r="T340">
            <v>17114400000</v>
          </cell>
        </row>
        <row r="341">
          <cell r="A341">
            <v>120030150</v>
          </cell>
          <cell r="B341" t="str">
            <v>INTERBANK PLACEMENTS   CALL - SE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>
            <v>120030160</v>
          </cell>
          <cell r="B342" t="str">
            <v>INTERBANK PLACEMENTS   TIME - SE</v>
          </cell>
          <cell r="C342">
            <v>59000000000</v>
          </cell>
          <cell r="D342">
            <v>0</v>
          </cell>
          <cell r="E342">
            <v>59000000000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59000000000</v>
          </cell>
          <cell r="T342">
            <v>59000000000</v>
          </cell>
        </row>
        <row r="343">
          <cell r="A343">
            <v>120030161</v>
          </cell>
          <cell r="B343" t="str">
            <v>HAIRCUT ON FINANCIAL INSTRUMENT-</v>
          </cell>
          <cell r="C343">
            <v>13868032000</v>
          </cell>
          <cell r="D343">
            <v>0</v>
          </cell>
          <cell r="E343">
            <v>13868032000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13868032000</v>
          </cell>
          <cell r="T343">
            <v>13868032000</v>
          </cell>
        </row>
        <row r="344">
          <cell r="A344">
            <v>120030170</v>
          </cell>
          <cell r="B344" t="str">
            <v>REPO PLACEMENT</v>
          </cell>
          <cell r="C344">
            <v>2500000000</v>
          </cell>
          <cell r="D344">
            <v>0</v>
          </cell>
          <cell r="E344">
            <v>2500000000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2500000000</v>
          </cell>
          <cell r="T344">
            <v>2500000000</v>
          </cell>
        </row>
        <row r="345">
          <cell r="A345">
            <v>120040120</v>
          </cell>
          <cell r="B345" t="str">
            <v>INT. RECV. - INTERBANK PLACEMENT</v>
          </cell>
          <cell r="C345">
            <v>0</v>
          </cell>
          <cell r="D345">
            <v>0</v>
          </cell>
          <cell r="E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A346">
            <v>120040130</v>
          </cell>
          <cell r="B346" t="str">
            <v>INT. RECV. - INTERBANK PLACEMENT</v>
          </cell>
          <cell r="C346">
            <v>0</v>
          </cell>
          <cell r="D346">
            <v>0</v>
          </cell>
          <cell r="E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A347">
            <v>130010101</v>
          </cell>
          <cell r="B347" t="str">
            <v>TERM LOANS   CORPORATE (301)</v>
          </cell>
          <cell r="C347">
            <v>3228170730.04</v>
          </cell>
          <cell r="D347">
            <v>0</v>
          </cell>
          <cell r="E347">
            <v>3228170730.04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3228170730.04</v>
          </cell>
          <cell r="T347">
            <v>3228170730.04</v>
          </cell>
        </row>
        <row r="348">
          <cell r="A348">
            <v>130010102</v>
          </cell>
          <cell r="B348" t="str">
            <v>TERM LOANS   CORPORATE (307)</v>
          </cell>
          <cell r="C348">
            <v>0</v>
          </cell>
          <cell r="D348">
            <v>0</v>
          </cell>
          <cell r="E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_x0012_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C351" t="str">
            <v>Polaris Bank Limited, N</v>
          </cell>
          <cell r="D351" t="str">
            <v>igeria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C352" t="str">
            <v>** Consolidated Balance Shee</v>
          </cell>
          <cell r="D352" t="str">
            <v>t CBN **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C354" t="str">
            <v>As on :     31-OCT-2025</v>
          </cell>
          <cell r="E354" t="str">
            <v>Page   :   7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User Id :</v>
          </cell>
          <cell r="B356" t="str">
            <v>SYSTEM</v>
          </cell>
          <cell r="C356" t="str">
            <v>Date 1 Time :     01-NOV-2025</v>
          </cell>
          <cell r="D356">
            <v>0.21625000000000003</v>
          </cell>
          <cell r="E356" t="str">
            <v>Module :   GL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----------</v>
          </cell>
          <cell r="B357" t="str">
            <v>----------------------------------------</v>
          </cell>
          <cell r="C357" t="str">
            <v>------------------------------</v>
          </cell>
          <cell r="D357" t="str">
            <v>------------------------------</v>
          </cell>
          <cell r="E357" t="str">
            <v>----------------------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A358" t="str">
            <v>GL Code</v>
          </cell>
          <cell r="B358" t="str">
            <v>Description</v>
          </cell>
          <cell r="C358" t="str">
            <v>LCY Amount</v>
          </cell>
          <cell r="D358" t="str">
            <v>FCY Amount (Lcy Eq)</v>
          </cell>
          <cell r="E358" t="str">
            <v>Total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A360" t="str">
            <v>----------</v>
          </cell>
          <cell r="B360" t="str">
            <v>----------------------------------------</v>
          </cell>
          <cell r="C360" t="str">
            <v>------------------------------</v>
          </cell>
          <cell r="D360" t="str">
            <v>------------------------------</v>
          </cell>
          <cell r="E360" t="str">
            <v>----------------------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A361" t="str">
            <v>Asset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A363">
            <v>130010104</v>
          </cell>
          <cell r="B363" t="str">
            <v>TERM LOANS-SHARELINE(SHAL)</v>
          </cell>
          <cell r="C363">
            <v>0</v>
          </cell>
          <cell r="D363">
            <v>0</v>
          </cell>
          <cell r="E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A364">
            <v>130010105</v>
          </cell>
          <cell r="B364" t="str">
            <v>TERM LOANS-PROJECT FINANCE(PJFI)</v>
          </cell>
          <cell r="C364">
            <v>2420245534.4000001</v>
          </cell>
          <cell r="D364">
            <v>0</v>
          </cell>
          <cell r="E364">
            <v>2420245534.4000001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2420245534.4000001</v>
          </cell>
          <cell r="T364">
            <v>2420245534.4000001</v>
          </cell>
        </row>
        <row r="365">
          <cell r="A365">
            <v>130010106</v>
          </cell>
          <cell r="B365" t="str">
            <v>TERM LOAN BRIDGING FINANCE(BFTL)</v>
          </cell>
          <cell r="C365">
            <v>0</v>
          </cell>
          <cell r="D365">
            <v>0</v>
          </cell>
          <cell r="E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A366">
            <v>130010107</v>
          </cell>
          <cell r="B366" t="str">
            <v>TERM LOAN WORKING CAPITAL(WCTL)</v>
          </cell>
          <cell r="C366">
            <v>26555070722.630001</v>
          </cell>
          <cell r="D366">
            <v>0</v>
          </cell>
          <cell r="E366">
            <v>26555070722.630001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26555070722.630001</v>
          </cell>
          <cell r="T366">
            <v>26555070722.630001</v>
          </cell>
        </row>
        <row r="367">
          <cell r="A367">
            <v>130010108</v>
          </cell>
          <cell r="B367" t="str">
            <v>TERM LOAN - CBN AGRICULTURE SCHE</v>
          </cell>
          <cell r="C367">
            <v>459504521.5</v>
          </cell>
          <cell r="D367">
            <v>0</v>
          </cell>
          <cell r="E367">
            <v>459504521.5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459504521.5</v>
          </cell>
          <cell r="T367">
            <v>459504521.5</v>
          </cell>
        </row>
        <row r="368">
          <cell r="A368">
            <v>130010109</v>
          </cell>
          <cell r="B368" t="str">
            <v>TERM LOAN  CBN SME SCHEME</v>
          </cell>
          <cell r="C368">
            <v>0</v>
          </cell>
          <cell r="D368">
            <v>0</v>
          </cell>
          <cell r="E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A369">
            <v>130010110</v>
          </cell>
          <cell r="B369" t="str">
            <v>TERM LOAN -CBN POWER SCHEME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A370">
            <v>130010112</v>
          </cell>
          <cell r="B370" t="str">
            <v>TERM LOANS COOP BLUE-CHIP (CSBM)</v>
          </cell>
          <cell r="C370">
            <v>0</v>
          </cell>
          <cell r="D370">
            <v>0</v>
          </cell>
          <cell r="E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</row>
        <row r="371">
          <cell r="A371">
            <v>130010113</v>
          </cell>
          <cell r="B371" t="str">
            <v>TERM LOAN -STATE BAILOUT</v>
          </cell>
          <cell r="C371">
            <v>61727505817.959999</v>
          </cell>
          <cell r="D371">
            <v>0</v>
          </cell>
          <cell r="E371">
            <v>61727505817.959999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61727505817.959999</v>
          </cell>
          <cell r="T371">
            <v>61727505817.959999</v>
          </cell>
        </row>
        <row r="372">
          <cell r="A372">
            <v>130010114</v>
          </cell>
          <cell r="B372" t="str">
            <v>LOAN - OTHERS</v>
          </cell>
          <cell r="C372">
            <v>0</v>
          </cell>
          <cell r="D372">
            <v>0</v>
          </cell>
          <cell r="E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A373">
            <v>130010115</v>
          </cell>
          <cell r="B373" t="str">
            <v>LOAN ACCOUNT-FX DIFFERENTIAL</v>
          </cell>
          <cell r="C373">
            <v>0</v>
          </cell>
          <cell r="D373">
            <v>0</v>
          </cell>
          <cell r="E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A374">
            <v>130010116</v>
          </cell>
          <cell r="B374" t="str">
            <v>CBN REAL SECTOR SUPPORT FACILITY</v>
          </cell>
          <cell r="C374">
            <v>0</v>
          </cell>
          <cell r="D374">
            <v>0</v>
          </cell>
          <cell r="E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A375">
            <v>130010117</v>
          </cell>
          <cell r="B375" t="str">
            <v>TERM LOAN - CBN HEALTH SECTOR LO</v>
          </cell>
          <cell r="C375">
            <v>1270087390.1400001</v>
          </cell>
          <cell r="D375">
            <v>0</v>
          </cell>
          <cell r="E375">
            <v>1270087390.1400001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1270087390.1400001</v>
          </cell>
          <cell r="T375">
            <v>1270087390.1400001</v>
          </cell>
        </row>
        <row r="376">
          <cell r="A376">
            <v>130010201</v>
          </cell>
          <cell r="B376" t="str">
            <v>TERM LOANS   INDIVIDUAL (303)</v>
          </cell>
          <cell r="C376">
            <v>452312</v>
          </cell>
          <cell r="D376">
            <v>0</v>
          </cell>
          <cell r="E376">
            <v>452312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452312</v>
          </cell>
          <cell r="T376">
            <v>452312</v>
          </cell>
        </row>
        <row r="377">
          <cell r="A377">
            <v>130010205</v>
          </cell>
          <cell r="B377" t="str">
            <v>RETAIL  PERSONAL LOAN ( LEASE EM</v>
          </cell>
          <cell r="C377">
            <v>18044314500.529999</v>
          </cell>
          <cell r="D377">
            <v>0</v>
          </cell>
          <cell r="E377">
            <v>18044314500.529999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18044314500.529999</v>
          </cell>
          <cell r="T377">
            <v>18044314500.529999</v>
          </cell>
        </row>
        <row r="378">
          <cell r="A378">
            <v>130010206</v>
          </cell>
          <cell r="B378" t="str">
            <v>RETAIL  AUTO LOAN ( LEASE EMI)</v>
          </cell>
          <cell r="C378">
            <v>486249270.76999998</v>
          </cell>
          <cell r="D378">
            <v>0</v>
          </cell>
          <cell r="E378">
            <v>486249270.76999998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486249270.76999998</v>
          </cell>
          <cell r="T378">
            <v>486249270.76999998</v>
          </cell>
        </row>
        <row r="379">
          <cell r="A379">
            <v>130010207</v>
          </cell>
          <cell r="B379" t="str">
            <v>LIFESTYLE  - LOAN ACCOUNT</v>
          </cell>
          <cell r="C379">
            <v>20844496.98</v>
          </cell>
          <cell r="D379">
            <v>0</v>
          </cell>
          <cell r="E379">
            <v>20844496.98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20844496.98</v>
          </cell>
          <cell r="T379">
            <v>20844496.98</v>
          </cell>
        </row>
        <row r="380">
          <cell r="A380">
            <v>130010208</v>
          </cell>
          <cell r="B380" t="str">
            <v>TERM LOAN MORTGAGES</v>
          </cell>
          <cell r="C380">
            <v>310967867.66000003</v>
          </cell>
          <cell r="D380">
            <v>0</v>
          </cell>
          <cell r="E380">
            <v>310967867.66000003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310967867.66000003</v>
          </cell>
          <cell r="T380">
            <v>310967867.66000003</v>
          </cell>
        </row>
        <row r="381">
          <cell r="A381">
            <v>130010210</v>
          </cell>
          <cell r="B381" t="str">
            <v>TERM LOAN HOLIDAY (HOLI)</v>
          </cell>
          <cell r="C381">
            <v>0</v>
          </cell>
          <cell r="D381">
            <v>0</v>
          </cell>
          <cell r="E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A382">
            <v>130010211</v>
          </cell>
          <cell r="B382" t="str">
            <v>TERM LOAN RETAIL HOME OWNERSHIP</v>
          </cell>
          <cell r="C382">
            <v>22615384.609999999</v>
          </cell>
          <cell r="D382">
            <v>0</v>
          </cell>
          <cell r="E382">
            <v>22615384.609999999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22615384.609999999</v>
          </cell>
          <cell r="T382">
            <v>22615384.609999999</v>
          </cell>
        </row>
        <row r="383">
          <cell r="A383">
            <v>130010212</v>
          </cell>
          <cell r="B383" t="str">
            <v>TERM LOAN TRAVEL AGENT (STAL)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4">
          <cell r="A384">
            <v>130010214</v>
          </cell>
          <cell r="B384" t="str">
            <v>RETAIL  AUTO LOAN (BUSINESS OWNE</v>
          </cell>
          <cell r="C384">
            <v>104930237.23</v>
          </cell>
          <cell r="D384">
            <v>0</v>
          </cell>
          <cell r="E384">
            <v>104930237.23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104930237.23</v>
          </cell>
          <cell r="T384">
            <v>104930237.23</v>
          </cell>
        </row>
        <row r="385">
          <cell r="A385">
            <v>130010215</v>
          </cell>
          <cell r="B385" t="str">
            <v>AMORTISED COST VALUE -LOANS AND</v>
          </cell>
          <cell r="C385">
            <v>0</v>
          </cell>
          <cell r="D385">
            <v>0</v>
          </cell>
          <cell r="E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A386">
            <v>130010216</v>
          </cell>
          <cell r="B386" t="str">
            <v>RETAIL SPECIAL TERM LOAN (RTSL)</v>
          </cell>
          <cell r="C386">
            <v>392090111.69999999</v>
          </cell>
          <cell r="D386">
            <v>0</v>
          </cell>
          <cell r="E386">
            <v>392090111.69999999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392090111.69999999</v>
          </cell>
          <cell r="T386">
            <v>392090111.69999999</v>
          </cell>
        </row>
        <row r="387">
          <cell r="A387">
            <v>130010217</v>
          </cell>
          <cell r="B387" t="str">
            <v>PERSONAL LOAN INSURANCE PREMIUM</v>
          </cell>
          <cell r="C387">
            <v>0</v>
          </cell>
          <cell r="D387">
            <v>0</v>
          </cell>
          <cell r="E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A388">
            <v>130010219</v>
          </cell>
          <cell r="B388" t="str">
            <v>TERM LOAN- HEALTH LOAN PHARMACY</v>
          </cell>
          <cell r="C388">
            <v>1288370.77</v>
          </cell>
          <cell r="D388">
            <v>0</v>
          </cell>
          <cell r="E388">
            <v>1288370.77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1288370.77</v>
          </cell>
          <cell r="T388">
            <v>1288370.77</v>
          </cell>
        </row>
        <row r="389">
          <cell r="A389">
            <v>130010220</v>
          </cell>
          <cell r="B389" t="str">
            <v>TERM LOAN- HEALTH LOAN HOSPITAL</v>
          </cell>
          <cell r="C389">
            <v>3671779.89</v>
          </cell>
          <cell r="D389">
            <v>0</v>
          </cell>
          <cell r="E389">
            <v>3671779.89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3671779.89</v>
          </cell>
          <cell r="T389">
            <v>3671779.89</v>
          </cell>
        </row>
        <row r="390">
          <cell r="A390">
            <v>130010251</v>
          </cell>
          <cell r="B390" t="str">
            <v>RETAIL SBG - ASSET FINANCING</v>
          </cell>
          <cell r="C390">
            <v>0</v>
          </cell>
          <cell r="D390">
            <v>0</v>
          </cell>
          <cell r="E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A391">
            <v>130010253</v>
          </cell>
          <cell r="B391" t="str">
            <v>RETAIL SBG - INVOICE FINANCING</v>
          </cell>
          <cell r="C391">
            <v>0</v>
          </cell>
          <cell r="D391">
            <v>0</v>
          </cell>
          <cell r="E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A392">
            <v>130010255</v>
          </cell>
          <cell r="B392" t="str">
            <v>RETAIL SBG - BRIDGING FINANCING</v>
          </cell>
          <cell r="C392">
            <v>0</v>
          </cell>
          <cell r="D392">
            <v>0</v>
          </cell>
          <cell r="E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A393">
            <v>130010256</v>
          </cell>
          <cell r="B393" t="str">
            <v>RETAIL SBG - CONTRACT FINANCING</v>
          </cell>
          <cell r="C393">
            <v>0</v>
          </cell>
          <cell r="D393">
            <v>0</v>
          </cell>
          <cell r="E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A394">
            <v>130010259</v>
          </cell>
          <cell r="B394" t="str">
            <v>RETAIL SBG - TERM LOAN</v>
          </cell>
          <cell r="C394">
            <v>0</v>
          </cell>
          <cell r="D394">
            <v>0</v>
          </cell>
          <cell r="E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A395">
            <v>130010260</v>
          </cell>
          <cell r="B395" t="str">
            <v>RETAIL SBG - SSA ASSET FINANCING</v>
          </cell>
          <cell r="C395">
            <v>235359690.33000001</v>
          </cell>
          <cell r="D395">
            <v>0</v>
          </cell>
          <cell r="E395">
            <v>235359690.33000001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235359690.33000001</v>
          </cell>
          <cell r="T395">
            <v>235359690.33000001</v>
          </cell>
        </row>
        <row r="396">
          <cell r="A396">
            <v>130010261</v>
          </cell>
          <cell r="B396" t="str">
            <v>RETAIL SBG - SSA SHORT TERM LOAN</v>
          </cell>
          <cell r="C396">
            <v>103880127.26000001</v>
          </cell>
          <cell r="D396">
            <v>0</v>
          </cell>
          <cell r="E396">
            <v>103880127.26000001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103880127.26000001</v>
          </cell>
          <cell r="T396">
            <v>103880127.26000001</v>
          </cell>
        </row>
        <row r="397">
          <cell r="A397">
            <v>130010262</v>
          </cell>
          <cell r="B397" t="str">
            <v>SBG / CBN- MSMEDF TERM LOAN</v>
          </cell>
          <cell r="C397">
            <v>0</v>
          </cell>
          <cell r="D397">
            <v>0</v>
          </cell>
          <cell r="E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A398">
            <v>130010264</v>
          </cell>
          <cell r="B398" t="str">
            <v>RETAIL SBG -INSTALMENTAL WORKING</v>
          </cell>
          <cell r="C398">
            <v>0</v>
          </cell>
          <cell r="D398">
            <v>0</v>
          </cell>
          <cell r="E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A399">
            <v>130010265</v>
          </cell>
          <cell r="B399" t="str">
            <v>RETAIL SBG - SSA ADVANCE</v>
          </cell>
          <cell r="C399">
            <v>0</v>
          </cell>
          <cell r="D399">
            <v>0</v>
          </cell>
          <cell r="E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A400">
            <v>130010266</v>
          </cell>
          <cell r="B400" t="str">
            <v>RETAIL SBG - POLARIS BUSINESS IN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</row>
        <row r="401">
          <cell r="A401">
            <v>130010269</v>
          </cell>
          <cell r="B401" t="str">
            <v>BUSINESS LOAN TERM LOAN</v>
          </cell>
          <cell r="C401">
            <v>93522937.909999996</v>
          </cell>
          <cell r="D401">
            <v>0</v>
          </cell>
          <cell r="E401">
            <v>93522937.909999996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93522937.909999996</v>
          </cell>
          <cell r="T401">
            <v>93522937.909999996</v>
          </cell>
        </row>
        <row r="402">
          <cell r="A402">
            <v>130010306</v>
          </cell>
          <cell r="B402" t="str">
            <v>TERM LOANS COOP PUBLIC SEC (CSPO</v>
          </cell>
          <cell r="C402">
            <v>0</v>
          </cell>
          <cell r="D402">
            <v>0</v>
          </cell>
          <cell r="E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</row>
        <row r="403">
          <cell r="A403">
            <v>130010401</v>
          </cell>
          <cell r="B403" t="str">
            <v>FOREIGN LOANS CORPORATE</v>
          </cell>
          <cell r="C403">
            <v>0</v>
          </cell>
          <cell r="D403">
            <v>98196341233.789993</v>
          </cell>
          <cell r="E403">
            <v>98196341233.789993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98196341233.789993</v>
          </cell>
          <cell r="T403">
            <v>98196341233.789993</v>
          </cell>
        </row>
        <row r="404">
          <cell r="A404">
            <v>130010402</v>
          </cell>
          <cell r="B404" t="str">
            <v>FOREIGN LOANS COMMERCIAL</v>
          </cell>
          <cell r="C404">
            <v>0</v>
          </cell>
          <cell r="D404">
            <v>9264087101.9899998</v>
          </cell>
          <cell r="E404">
            <v>9264087101.9899998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9264087101.9899998</v>
          </cell>
          <cell r="T404">
            <v>9264087101.9899998</v>
          </cell>
        </row>
        <row r="405">
          <cell r="A405">
            <v>130010404</v>
          </cell>
          <cell r="B405" t="str">
            <v>TERM LOAN CORPORATE</v>
          </cell>
          <cell r="C405">
            <v>12631874603.01</v>
          </cell>
          <cell r="D405">
            <v>0</v>
          </cell>
          <cell r="E405">
            <v>12631874603.01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12631874603.01</v>
          </cell>
          <cell r="T405">
            <v>12631874603.01</v>
          </cell>
        </row>
        <row r="406">
          <cell r="A406">
            <v>130020102</v>
          </cell>
          <cell r="B406" t="str">
            <v>ADVANCES CORPORATE BANKING (01)</v>
          </cell>
          <cell r="C406">
            <v>1000000000</v>
          </cell>
          <cell r="D406">
            <v>0</v>
          </cell>
          <cell r="E406">
            <v>1000000000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1000000000</v>
          </cell>
          <cell r="T406">
            <v>1000000000</v>
          </cell>
        </row>
        <row r="407">
          <cell r="A407" t="str">
            <v>_x0012_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</row>
        <row r="408"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</row>
        <row r="409">
          <cell r="C409" t="str">
            <v>Polaris Bank Limited, N</v>
          </cell>
          <cell r="D409" t="str">
            <v>igeria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</row>
        <row r="410">
          <cell r="C410" t="str">
            <v>** Consolidated Balance Shee</v>
          </cell>
          <cell r="D410" t="str">
            <v>t CBN **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</row>
        <row r="411"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</row>
        <row r="412">
          <cell r="C412" t="str">
            <v>As on :     31-OCT-2025</v>
          </cell>
          <cell r="E412" t="str">
            <v>Page   :   8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</row>
        <row r="414">
          <cell r="A414" t="str">
            <v>User Id :</v>
          </cell>
          <cell r="B414" t="str">
            <v>SYSTEM</v>
          </cell>
          <cell r="C414" t="str">
            <v>Date 1 Time :     01-NOV-2025</v>
          </cell>
          <cell r="D414">
            <v>0.21625000000000003</v>
          </cell>
          <cell r="E414" t="str">
            <v>Module :   GL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</row>
        <row r="415">
          <cell r="A415" t="str">
            <v>----------</v>
          </cell>
          <cell r="B415" t="str">
            <v>----------------------------------------</v>
          </cell>
          <cell r="C415" t="str">
            <v>------------------------------</v>
          </cell>
          <cell r="D415" t="str">
            <v>------------------------------</v>
          </cell>
          <cell r="E415" t="str">
            <v>----------------------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</row>
        <row r="416">
          <cell r="A416" t="str">
            <v>GL Code</v>
          </cell>
          <cell r="B416" t="str">
            <v>Description</v>
          </cell>
          <cell r="C416" t="str">
            <v>LCY Amount</v>
          </cell>
          <cell r="D416" t="str">
            <v>FCY Amount (Lcy Eq)</v>
          </cell>
          <cell r="E416" t="str">
            <v>Total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</row>
        <row r="418">
          <cell r="A418" t="str">
            <v>----------</v>
          </cell>
          <cell r="B418" t="str">
            <v>----------------------------------------</v>
          </cell>
          <cell r="C418" t="str">
            <v>------------------------------</v>
          </cell>
          <cell r="D418" t="str">
            <v>------------------------------</v>
          </cell>
          <cell r="E418" t="str">
            <v>----------------------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</row>
        <row r="419">
          <cell r="A419" t="str">
            <v>Asset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</row>
        <row r="420"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A421">
            <v>130020103</v>
          </cell>
          <cell r="B421" t="str">
            <v>CONTRACT FINANCE(CTFI) - SHT TER</v>
          </cell>
          <cell r="C421">
            <v>3007302776.0700002</v>
          </cell>
          <cell r="D421">
            <v>0</v>
          </cell>
          <cell r="E421">
            <v>3007302776.0700002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3007302776.0700002</v>
          </cell>
          <cell r="T421">
            <v>3007302776.0700002</v>
          </cell>
        </row>
        <row r="422">
          <cell r="A422">
            <v>130020104</v>
          </cell>
          <cell r="B422" t="str">
            <v>LPO FINANCE (LPOF)- SHT TERM LOA</v>
          </cell>
          <cell r="C422">
            <v>1000000000</v>
          </cell>
          <cell r="D422">
            <v>0</v>
          </cell>
          <cell r="E422">
            <v>1000000000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1000000000</v>
          </cell>
          <cell r="T422">
            <v>1000000000</v>
          </cell>
        </row>
        <row r="423">
          <cell r="A423">
            <v>130020105</v>
          </cell>
          <cell r="B423" t="str">
            <v>INVOICE DISCOUNTING(IVDS) -SHT T</v>
          </cell>
          <cell r="C423">
            <v>446994941.23000002</v>
          </cell>
          <cell r="D423">
            <v>0</v>
          </cell>
          <cell r="E423">
            <v>446994941.23000002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446994941.23000002</v>
          </cell>
          <cell r="T423">
            <v>446994941.23000002</v>
          </cell>
        </row>
        <row r="424">
          <cell r="A424">
            <v>130020106</v>
          </cell>
          <cell r="B424" t="str">
            <v>BILL DISCOUNTING(BIDS)- SHT TERM</v>
          </cell>
          <cell r="C424">
            <v>0</v>
          </cell>
          <cell r="D424">
            <v>0</v>
          </cell>
          <cell r="E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</row>
        <row r="425">
          <cell r="A425">
            <v>130020107</v>
          </cell>
          <cell r="B425" t="str">
            <v>IMPORT FINANCE(IMPF) -SHT TERM L</v>
          </cell>
          <cell r="C425">
            <v>593050480</v>
          </cell>
          <cell r="D425">
            <v>0</v>
          </cell>
          <cell r="E425">
            <v>593050480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593050480</v>
          </cell>
          <cell r="T425">
            <v>593050480</v>
          </cell>
        </row>
        <row r="426">
          <cell r="A426">
            <v>130020109</v>
          </cell>
          <cell r="B426" t="str">
            <v>STOCK FINANCE (STFI)- SHT TERM L</v>
          </cell>
          <cell r="C426">
            <v>0</v>
          </cell>
          <cell r="D426">
            <v>0</v>
          </cell>
          <cell r="E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A427">
            <v>130020110</v>
          </cell>
          <cell r="B427" t="str">
            <v>ADVANCE WORKING CAPITAL-APG UTIL</v>
          </cell>
          <cell r="C427">
            <v>0</v>
          </cell>
          <cell r="D427">
            <v>0</v>
          </cell>
          <cell r="E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</row>
        <row r="428">
          <cell r="A428">
            <v>130020111</v>
          </cell>
          <cell r="B428" t="str">
            <v>ADVANCE BRIDGING FINANCE(ADBF)</v>
          </cell>
          <cell r="C428">
            <v>259990744.18000001</v>
          </cell>
          <cell r="D428">
            <v>21588975052.029999</v>
          </cell>
          <cell r="E428">
            <v>21848965796.209999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21848965796.209999</v>
          </cell>
          <cell r="T428">
            <v>21848965796.209999</v>
          </cell>
        </row>
        <row r="429">
          <cell r="A429">
            <v>130020112</v>
          </cell>
          <cell r="B429" t="str">
            <v>ADVANCE - CBN AGRICULTURE SCHEME</v>
          </cell>
          <cell r="C429">
            <v>0</v>
          </cell>
          <cell r="D429">
            <v>0</v>
          </cell>
          <cell r="E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</row>
        <row r="430">
          <cell r="A430">
            <v>130020115</v>
          </cell>
          <cell r="B430" t="str">
            <v>ADVANCE WORKING CAPITAL</v>
          </cell>
          <cell r="C430">
            <v>15417065465.15</v>
          </cell>
          <cell r="D430">
            <v>4991700000</v>
          </cell>
          <cell r="E430">
            <v>20408765465.150002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20408765465.150002</v>
          </cell>
          <cell r="T430">
            <v>20408765465.150002</v>
          </cell>
        </row>
        <row r="431">
          <cell r="A431">
            <v>130020116</v>
          </cell>
          <cell r="B431" t="str">
            <v>CLEANLINE LC- POSITION FUNDING</v>
          </cell>
          <cell r="C431">
            <v>0</v>
          </cell>
          <cell r="D431">
            <v>40179776.380000003</v>
          </cell>
          <cell r="E431">
            <v>40179776.380000003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40179776.380000003</v>
          </cell>
          <cell r="T431">
            <v>40179776.380000003</v>
          </cell>
        </row>
        <row r="432">
          <cell r="A432">
            <v>130020201</v>
          </cell>
          <cell r="B432" t="str">
            <v>ADV   RETAIL &amp; CONSUMER</v>
          </cell>
          <cell r="C432">
            <v>0</v>
          </cell>
          <cell r="D432">
            <v>0</v>
          </cell>
          <cell r="E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</row>
        <row r="433">
          <cell r="A433">
            <v>130020202</v>
          </cell>
          <cell r="B433" t="str">
            <v>POLARIS EDUCARE - POSTGRADUATE</v>
          </cell>
          <cell r="C433">
            <v>0</v>
          </cell>
          <cell r="D433">
            <v>0</v>
          </cell>
          <cell r="E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</row>
        <row r="434">
          <cell r="A434">
            <v>130020203</v>
          </cell>
          <cell r="B434" t="str">
            <v>RETAIL SBG ADVANCE - CASH BACKED</v>
          </cell>
          <cell r="C434">
            <v>0</v>
          </cell>
          <cell r="D434">
            <v>0</v>
          </cell>
          <cell r="E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A435">
            <v>130020306</v>
          </cell>
          <cell r="B435" t="str">
            <v>ADVANCES</v>
          </cell>
          <cell r="C435">
            <v>31464309211.380001</v>
          </cell>
          <cell r="D435">
            <v>11510675829.190001</v>
          </cell>
          <cell r="E435">
            <v>42974985040.57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42974985040.57</v>
          </cell>
          <cell r="T435">
            <v>42974985040.57</v>
          </cell>
        </row>
        <row r="436">
          <cell r="A436">
            <v>130030100</v>
          </cell>
          <cell r="B436" t="str">
            <v>ADV UNDER LEASE   CORPORATE BANK</v>
          </cell>
          <cell r="C436">
            <v>1027418705.05</v>
          </cell>
          <cell r="D436">
            <v>0</v>
          </cell>
          <cell r="E436">
            <v>1027418705.05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1027418705.05</v>
          </cell>
          <cell r="T436">
            <v>1027418705.05</v>
          </cell>
        </row>
        <row r="437">
          <cell r="A437">
            <v>130040101</v>
          </cell>
          <cell r="B437" t="str">
            <v>OVERDRAFTS   STD CURRENT CORP (1</v>
          </cell>
          <cell r="C437">
            <v>62189682435.809998</v>
          </cell>
          <cell r="D437">
            <v>28026264.300000001</v>
          </cell>
          <cell r="E437">
            <v>62217708700.110001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62217708700.110001</v>
          </cell>
          <cell r="T437">
            <v>62217708700.110001</v>
          </cell>
        </row>
        <row r="438">
          <cell r="A438">
            <v>130040105</v>
          </cell>
          <cell r="B438" t="str">
            <v>OVERDRAFT - POLARISXCEL CORPORAT</v>
          </cell>
          <cell r="C438">
            <v>341122209.62</v>
          </cell>
          <cell r="D438">
            <v>0</v>
          </cell>
          <cell r="E438">
            <v>341122209.62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341122209.62</v>
          </cell>
          <cell r="T438">
            <v>341122209.62</v>
          </cell>
        </row>
        <row r="439">
          <cell r="A439">
            <v>130040106</v>
          </cell>
          <cell r="B439" t="str">
            <v>OVERDRAFT - POLARIS BUSINESS ACC</v>
          </cell>
          <cell r="C439">
            <v>25916198153.450001</v>
          </cell>
          <cell r="D439">
            <v>495489.12</v>
          </cell>
          <cell r="E439">
            <v>25916693642.57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25916693642.57</v>
          </cell>
          <cell r="T439">
            <v>25916693642.57</v>
          </cell>
        </row>
        <row r="440">
          <cell r="A440">
            <v>130040107</v>
          </cell>
          <cell r="B440" t="str">
            <v>OVERDRAFT - POLARIS CORPORATE SE</v>
          </cell>
          <cell r="C440">
            <v>0.04</v>
          </cell>
          <cell r="D440">
            <v>0</v>
          </cell>
          <cell r="E440">
            <v>0.04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0.04</v>
          </cell>
          <cell r="T440">
            <v>0.04</v>
          </cell>
        </row>
        <row r="441">
          <cell r="A441">
            <v>130040108</v>
          </cell>
          <cell r="B441" t="str">
            <v>OVERDRAFT - POLARIS ENTERPRISE S</v>
          </cell>
          <cell r="C441">
            <v>0</v>
          </cell>
          <cell r="D441">
            <v>0</v>
          </cell>
          <cell r="E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</row>
        <row r="442">
          <cell r="A442">
            <v>130040109</v>
          </cell>
          <cell r="B442" t="str">
            <v>OVERDRAFT- POLARIS PEARL CURRENT</v>
          </cell>
          <cell r="C442">
            <v>0</v>
          </cell>
          <cell r="D442">
            <v>0</v>
          </cell>
          <cell r="E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A443">
            <v>130040111</v>
          </cell>
          <cell r="B443" t="str">
            <v>OVERDRAFT- POLARIS PEARL CURRENT</v>
          </cell>
          <cell r="C443">
            <v>33810946.640000001</v>
          </cell>
          <cell r="D443">
            <v>0</v>
          </cell>
          <cell r="E443">
            <v>33810946.640000001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33810946.640000001</v>
          </cell>
          <cell r="T443">
            <v>33810946.640000001</v>
          </cell>
        </row>
        <row r="444">
          <cell r="A444">
            <v>130040201</v>
          </cell>
          <cell r="B444" t="str">
            <v>OVERDRAFTS   STD CURRENT INDV (1</v>
          </cell>
          <cell r="C444">
            <v>1292186363.0999999</v>
          </cell>
          <cell r="D444">
            <v>1823812.49</v>
          </cell>
          <cell r="E444">
            <v>1294010175.5899999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1294010175.5899999</v>
          </cell>
          <cell r="T444">
            <v>1294010175.5899999</v>
          </cell>
        </row>
        <row r="445">
          <cell r="A445">
            <v>130040202</v>
          </cell>
          <cell r="B445" t="str">
            <v>OVERDRAFTS   STAFF ACCOUNTS</v>
          </cell>
          <cell r="C445">
            <v>10919057.810000001</v>
          </cell>
          <cell r="D445">
            <v>20562908.809999999</v>
          </cell>
          <cell r="E445">
            <v>31481966.620000001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31481966.620000001</v>
          </cell>
          <cell r="T445">
            <v>31481966.620000001</v>
          </cell>
        </row>
        <row r="446">
          <cell r="A446">
            <v>130040203</v>
          </cell>
          <cell r="B446" t="str">
            <v>OVERDRAFTS POLARIS GLOBAL ACCOUN</v>
          </cell>
          <cell r="C446">
            <v>288.63</v>
          </cell>
          <cell r="D446">
            <v>74.86</v>
          </cell>
          <cell r="E446">
            <v>363.49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363.49</v>
          </cell>
          <cell r="T446">
            <v>363.49</v>
          </cell>
        </row>
        <row r="447">
          <cell r="A447">
            <v>130040204</v>
          </cell>
          <cell r="B447" t="str">
            <v>POLARISCARD SALARY CREDIT CARD G</v>
          </cell>
          <cell r="C447">
            <v>13703189.17</v>
          </cell>
          <cell r="D447">
            <v>0</v>
          </cell>
          <cell r="E447">
            <v>13703189.17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13703189.17</v>
          </cell>
          <cell r="T447">
            <v>13703189.17</v>
          </cell>
        </row>
        <row r="448">
          <cell r="A448">
            <v>130040205</v>
          </cell>
          <cell r="B448" t="str">
            <v>POLARISCARD STANDARD CREDIT CARD</v>
          </cell>
          <cell r="C448">
            <v>125794120.48999999</v>
          </cell>
          <cell r="D448">
            <v>0</v>
          </cell>
          <cell r="E448">
            <v>125794120.48999999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125794120.48999999</v>
          </cell>
          <cell r="T448">
            <v>125794120.48999999</v>
          </cell>
        </row>
        <row r="449">
          <cell r="A449">
            <v>130040207</v>
          </cell>
          <cell r="B449" t="str">
            <v>OVERDRAFTS POLARIS ELECT.MONEY T</v>
          </cell>
          <cell r="C449">
            <v>11336579842.6</v>
          </cell>
          <cell r="D449">
            <v>0</v>
          </cell>
          <cell r="E449">
            <v>11336579842.6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11336579842.6</v>
          </cell>
          <cell r="T449">
            <v>11336579842.6</v>
          </cell>
        </row>
        <row r="450">
          <cell r="A450">
            <v>130040208</v>
          </cell>
          <cell r="B450" t="str">
            <v>OVERDRAFT SUREPADI LOANS</v>
          </cell>
          <cell r="C450">
            <v>0</v>
          </cell>
          <cell r="D450">
            <v>0</v>
          </cell>
          <cell r="E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</row>
        <row r="451">
          <cell r="A451">
            <v>130040210</v>
          </cell>
          <cell r="B451" t="str">
            <v>OVERDRAFT DEMAND DEPOSIT FCY C/A</v>
          </cell>
          <cell r="C451">
            <v>0</v>
          </cell>
          <cell r="D451">
            <v>469276876.51999998</v>
          </cell>
          <cell r="E451">
            <v>469276876.51999998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469276876.51999998</v>
          </cell>
          <cell r="T451">
            <v>469276876.51999998</v>
          </cell>
        </row>
        <row r="452">
          <cell r="A452">
            <v>130040211</v>
          </cell>
          <cell r="B452" t="str">
            <v>OVERDRAFT - INDIVIDUAL FLIT CASH</v>
          </cell>
          <cell r="C452">
            <v>0</v>
          </cell>
          <cell r="D452">
            <v>0</v>
          </cell>
          <cell r="E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</row>
        <row r="453">
          <cell r="A453">
            <v>130040212</v>
          </cell>
          <cell r="B453" t="str">
            <v>OVERDRAFT - STANDARD SALARY WORK</v>
          </cell>
          <cell r="C453">
            <v>167365665.09</v>
          </cell>
          <cell r="D453">
            <v>0</v>
          </cell>
          <cell r="E453">
            <v>167365665.09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167365665.09</v>
          </cell>
          <cell r="T453">
            <v>167365665.09</v>
          </cell>
        </row>
        <row r="454">
          <cell r="A454">
            <v>130040215</v>
          </cell>
          <cell r="B454" t="str">
            <v>EX - STAFF CURRENT ACCOUNT</v>
          </cell>
          <cell r="C454">
            <v>817596985.66999996</v>
          </cell>
          <cell r="D454">
            <v>313678.44</v>
          </cell>
          <cell r="E454">
            <v>817910664.11000001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817910664.11000001</v>
          </cell>
          <cell r="T454">
            <v>817910664.11000001</v>
          </cell>
        </row>
        <row r="455">
          <cell r="A455">
            <v>130040216</v>
          </cell>
          <cell r="B455" t="str">
            <v>POLARIS MARKET LOAN OVERDRAFT</v>
          </cell>
          <cell r="C455">
            <v>3458784417.4000001</v>
          </cell>
          <cell r="D455">
            <v>0</v>
          </cell>
          <cell r="E455">
            <v>3458784417.4000001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3458784417.4000001</v>
          </cell>
          <cell r="T455">
            <v>3458784417.4000001</v>
          </cell>
        </row>
        <row r="456">
          <cell r="A456">
            <v>130040218</v>
          </cell>
          <cell r="B456" t="str">
            <v>OVERDRAFT- HEALTH LOAN PHARMACY(</v>
          </cell>
          <cell r="C456">
            <v>35375523.340000004</v>
          </cell>
          <cell r="D456">
            <v>0</v>
          </cell>
          <cell r="E456">
            <v>35375523.340000004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35375523.340000004</v>
          </cell>
          <cell r="T456">
            <v>35375523.340000004</v>
          </cell>
        </row>
        <row r="457">
          <cell r="A457">
            <v>130040219</v>
          </cell>
          <cell r="B457" t="str">
            <v>OVERDRAFT- HEALTH LOAN HOSPITAL</v>
          </cell>
          <cell r="C457">
            <v>0</v>
          </cell>
          <cell r="D457">
            <v>0</v>
          </cell>
          <cell r="E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</row>
        <row r="458">
          <cell r="A458">
            <v>130040301</v>
          </cell>
          <cell r="B458" t="str">
            <v>OVERDRAFT   FEDERAL GOVT</v>
          </cell>
          <cell r="C458">
            <v>2927153.57</v>
          </cell>
          <cell r="D458">
            <v>0</v>
          </cell>
          <cell r="E458">
            <v>2927153.57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2927153.57</v>
          </cell>
          <cell r="T458">
            <v>2927153.57</v>
          </cell>
        </row>
        <row r="459">
          <cell r="A459">
            <v>130040302</v>
          </cell>
          <cell r="B459" t="str">
            <v>OVERDRAFT   STATE GOVT</v>
          </cell>
          <cell r="C459">
            <v>1060329.5</v>
          </cell>
          <cell r="D459">
            <v>0</v>
          </cell>
          <cell r="E459">
            <v>1060329.5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1060329.5</v>
          </cell>
          <cell r="T459">
            <v>1060329.5</v>
          </cell>
        </row>
        <row r="460">
          <cell r="A460">
            <v>130040303</v>
          </cell>
          <cell r="B460" t="str">
            <v>OVERDRAFT   LOCAL GOVT</v>
          </cell>
          <cell r="C460">
            <v>125.46</v>
          </cell>
          <cell r="D460">
            <v>0</v>
          </cell>
          <cell r="E460">
            <v>125.46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125.46</v>
          </cell>
          <cell r="T460">
            <v>125.46</v>
          </cell>
        </row>
        <row r="461">
          <cell r="A461">
            <v>130040304</v>
          </cell>
          <cell r="B461" t="str">
            <v>OVERDRAFT   FEDERAL PARASTATAL</v>
          </cell>
          <cell r="C461">
            <v>0</v>
          </cell>
          <cell r="D461">
            <v>0</v>
          </cell>
          <cell r="E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</row>
        <row r="462">
          <cell r="A462">
            <v>130040305</v>
          </cell>
          <cell r="B462" t="str">
            <v>OVERDRAFT   STATE PARASTATAL</v>
          </cell>
          <cell r="C462">
            <v>0</v>
          </cell>
          <cell r="D462">
            <v>0</v>
          </cell>
          <cell r="E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</row>
        <row r="463">
          <cell r="A463">
            <v>130040501</v>
          </cell>
          <cell r="B463" t="str">
            <v>OVERDRAFT - S/AS   LCY STAFF</v>
          </cell>
          <cell r="C463">
            <v>8441544.7599999998</v>
          </cell>
          <cell r="D463">
            <v>0</v>
          </cell>
          <cell r="E463">
            <v>8441544.7599999998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8441544.7599999998</v>
          </cell>
          <cell r="T463">
            <v>8441544.7599999998</v>
          </cell>
        </row>
        <row r="464">
          <cell r="A464">
            <v>130040502</v>
          </cell>
          <cell r="B464" t="str">
            <v>OVERDRAFT - POLARIS SAVINGS PROD</v>
          </cell>
          <cell r="C464">
            <v>538810826.86000001</v>
          </cell>
          <cell r="D464">
            <v>226308075.38</v>
          </cell>
          <cell r="E464">
            <v>765118902.24000001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765118902.24000001</v>
          </cell>
          <cell r="T464">
            <v>765118902.24000001</v>
          </cell>
        </row>
        <row r="465">
          <cell r="A465" t="str">
            <v>_x0012_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</row>
        <row r="467">
          <cell r="C467" t="str">
            <v>Polaris Bank Limited, N</v>
          </cell>
          <cell r="D467" t="str">
            <v>igeria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</row>
        <row r="468">
          <cell r="C468" t="str">
            <v>** Consolidated Balance Shee</v>
          </cell>
          <cell r="D468" t="str">
            <v>t CBN **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</row>
        <row r="470">
          <cell r="C470" t="str">
            <v>As on :     31-OCT-2025</v>
          </cell>
          <cell r="E470" t="str">
            <v>Page   :   9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</row>
        <row r="472">
          <cell r="A472" t="str">
            <v>User Id :</v>
          </cell>
          <cell r="B472" t="str">
            <v>SYSTEM</v>
          </cell>
          <cell r="C472" t="str">
            <v>Date 1 Time :     01-NOV-2025</v>
          </cell>
          <cell r="D472">
            <v>0.21625000000000003</v>
          </cell>
          <cell r="E472" t="str">
            <v>Module :   GL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</row>
        <row r="473">
          <cell r="A473" t="str">
            <v>----------</v>
          </cell>
          <cell r="B473" t="str">
            <v>----------------------------------------</v>
          </cell>
          <cell r="C473" t="str">
            <v>------------------------------</v>
          </cell>
          <cell r="D473" t="str">
            <v>------------------------------</v>
          </cell>
          <cell r="E473" t="str">
            <v>----------------------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</row>
        <row r="474">
          <cell r="A474" t="str">
            <v>GL Code</v>
          </cell>
          <cell r="B474" t="str">
            <v>Description</v>
          </cell>
          <cell r="C474" t="str">
            <v>LCY Amount</v>
          </cell>
          <cell r="D474" t="str">
            <v>FCY Amount (Lcy Eq)</v>
          </cell>
          <cell r="E474" t="str">
            <v>Total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</row>
        <row r="476">
          <cell r="A476" t="str">
            <v>----------</v>
          </cell>
          <cell r="B476" t="str">
            <v>----------------------------------------</v>
          </cell>
          <cell r="C476" t="str">
            <v>------------------------------</v>
          </cell>
          <cell r="D476" t="str">
            <v>------------------------------</v>
          </cell>
          <cell r="E476" t="str">
            <v>----------------------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</row>
        <row r="477">
          <cell r="A477" t="str">
            <v>Asset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</row>
        <row r="478"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</row>
        <row r="479">
          <cell r="A479">
            <v>130040503</v>
          </cell>
          <cell r="B479" t="str">
            <v>CASA ASSET CONVERSION GL</v>
          </cell>
          <cell r="C479">
            <v>0</v>
          </cell>
          <cell r="D479">
            <v>0</v>
          </cell>
          <cell r="E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</row>
        <row r="480">
          <cell r="A480">
            <v>130040504</v>
          </cell>
          <cell r="B480" t="str">
            <v>MBL - CASA ASSET CONVERSION GL</v>
          </cell>
          <cell r="C480">
            <v>0</v>
          </cell>
          <cell r="D480">
            <v>0</v>
          </cell>
          <cell r="E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</row>
        <row r="481">
          <cell r="A481">
            <v>130040506</v>
          </cell>
          <cell r="B481" t="str">
            <v>EX- STAFF SAVINGS ACCOUNT</v>
          </cell>
          <cell r="C481">
            <v>92828653.480000004</v>
          </cell>
          <cell r="D481">
            <v>13905.45</v>
          </cell>
          <cell r="E481">
            <v>92842558.930000007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92842558.930000007</v>
          </cell>
          <cell r="T481">
            <v>92842558.930000007</v>
          </cell>
        </row>
        <row r="482">
          <cell r="A482">
            <v>130040601</v>
          </cell>
          <cell r="B482" t="str">
            <v>OVERDRAFT - PLATINUM CREDIT CARD</v>
          </cell>
          <cell r="C482">
            <v>0</v>
          </cell>
          <cell r="D482">
            <v>273930.21999999997</v>
          </cell>
          <cell r="E482">
            <v>273930.21999999997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273930.21999999997</v>
          </cell>
          <cell r="T482">
            <v>273930.21999999997</v>
          </cell>
        </row>
        <row r="483">
          <cell r="A483">
            <v>130040602</v>
          </cell>
          <cell r="B483" t="str">
            <v>OVERDRAFT - GOLD CREDIT CARD (VI</v>
          </cell>
          <cell r="C483">
            <v>0</v>
          </cell>
          <cell r="D483">
            <v>18307523.890000001</v>
          </cell>
          <cell r="E483">
            <v>18307523.890000001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18307523.890000001</v>
          </cell>
          <cell r="T483">
            <v>18307523.890000001</v>
          </cell>
        </row>
        <row r="484">
          <cell r="A484">
            <v>130040603</v>
          </cell>
          <cell r="B484" t="str">
            <v>OVERDRAFT - PREPAID CREDIT CARD</v>
          </cell>
          <cell r="C484">
            <v>0</v>
          </cell>
          <cell r="D484">
            <v>1470996.95</v>
          </cell>
          <cell r="E484">
            <v>1470996.95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1470996.95</v>
          </cell>
          <cell r="T484">
            <v>1470996.95</v>
          </cell>
        </row>
        <row r="485">
          <cell r="A485">
            <v>130050010</v>
          </cell>
          <cell r="B485" t="str">
            <v>STAFF LOANS   PERSONAL</v>
          </cell>
          <cell r="C485">
            <v>8934296.7200000007</v>
          </cell>
          <cell r="D485">
            <v>0</v>
          </cell>
          <cell r="E485">
            <v>8934296.7200000007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8934296.7200000007</v>
          </cell>
          <cell r="T485">
            <v>8934296.7200000007</v>
          </cell>
        </row>
        <row r="486">
          <cell r="A486">
            <v>130050020</v>
          </cell>
          <cell r="B486" t="str">
            <v>STAFF LOAN   MORTGAGE LOANS</v>
          </cell>
          <cell r="C486">
            <v>233412678.13999999</v>
          </cell>
          <cell r="D486">
            <v>0</v>
          </cell>
          <cell r="E486">
            <v>233412678.13999999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233412678.13999999</v>
          </cell>
          <cell r="T486">
            <v>233412678.13999999</v>
          </cell>
        </row>
        <row r="487">
          <cell r="A487">
            <v>130050030</v>
          </cell>
          <cell r="B487" t="str">
            <v>STAFF LOANS   CAR LOANS</v>
          </cell>
          <cell r="C487">
            <v>22891667</v>
          </cell>
          <cell r="D487">
            <v>0</v>
          </cell>
          <cell r="E487">
            <v>22891667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22891667</v>
          </cell>
          <cell r="T487">
            <v>22891667</v>
          </cell>
        </row>
        <row r="488">
          <cell r="A488">
            <v>130050040</v>
          </cell>
          <cell r="B488" t="str">
            <v>STAFF LOANS   SHARE LOANS</v>
          </cell>
          <cell r="C488">
            <v>0</v>
          </cell>
          <cell r="D488">
            <v>0</v>
          </cell>
          <cell r="E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</row>
        <row r="489">
          <cell r="A489">
            <v>130050050</v>
          </cell>
          <cell r="B489" t="str">
            <v>STAFF LOANS   SPECIAL LOANS</v>
          </cell>
          <cell r="C489">
            <v>0</v>
          </cell>
          <cell r="D489">
            <v>0</v>
          </cell>
          <cell r="E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</row>
        <row r="490">
          <cell r="A490">
            <v>130050070</v>
          </cell>
          <cell r="B490" t="str">
            <v>POLARIS STF SHARE TRUST FUND (LO</v>
          </cell>
          <cell r="C490">
            <v>0</v>
          </cell>
          <cell r="D490">
            <v>0</v>
          </cell>
          <cell r="E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</row>
        <row r="491">
          <cell r="A491">
            <v>130050080</v>
          </cell>
          <cell r="B491" t="str">
            <v>POLARIS STAFF SHARE LOAN ACCOUNT</v>
          </cell>
          <cell r="C491">
            <v>0</v>
          </cell>
          <cell r="D491">
            <v>0</v>
          </cell>
          <cell r="E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</row>
        <row r="492">
          <cell r="A492">
            <v>130050090</v>
          </cell>
          <cell r="B492" t="str">
            <v>STAFF LOANS   POLARIS SHARES</v>
          </cell>
          <cell r="C492">
            <v>0</v>
          </cell>
          <cell r="D492">
            <v>0</v>
          </cell>
          <cell r="E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</row>
        <row r="493">
          <cell r="A493">
            <v>130061101</v>
          </cell>
          <cell r="B493" t="str">
            <v>INT. RECV. - TERM LOANS   CORPOR</v>
          </cell>
          <cell r="C493">
            <v>0</v>
          </cell>
          <cell r="D493">
            <v>0</v>
          </cell>
          <cell r="E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</row>
        <row r="494">
          <cell r="A494">
            <v>130061104</v>
          </cell>
          <cell r="B494" t="str">
            <v>INT. RECV. - TERM LOANS-SHARELIN</v>
          </cell>
          <cell r="C494">
            <v>0</v>
          </cell>
          <cell r="D494">
            <v>0</v>
          </cell>
          <cell r="E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</row>
        <row r="495">
          <cell r="A495">
            <v>130061105</v>
          </cell>
          <cell r="B495" t="str">
            <v>INT. RECV. - TERM LOANS-PROJECT</v>
          </cell>
          <cell r="C495">
            <v>34032109.969999999</v>
          </cell>
          <cell r="D495">
            <v>0</v>
          </cell>
          <cell r="E495">
            <v>34032109.969999999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5061581.04</v>
          </cell>
          <cell r="P495">
            <v>0</v>
          </cell>
          <cell r="Q495">
            <v>0</v>
          </cell>
          <cell r="R495">
            <v>0</v>
          </cell>
          <cell r="S495">
            <v>39093691.009999998</v>
          </cell>
          <cell r="T495">
            <v>39093691.009999998</v>
          </cell>
        </row>
        <row r="496">
          <cell r="A496">
            <v>130061106</v>
          </cell>
          <cell r="B496" t="str">
            <v>INT. RECV. - TERM LOAN BRIDGING</v>
          </cell>
          <cell r="C496">
            <v>38299.089999999997</v>
          </cell>
          <cell r="D496">
            <v>0</v>
          </cell>
          <cell r="E496">
            <v>38299.089999999997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38299.089999999997</v>
          </cell>
          <cell r="T496">
            <v>38299.089999999997</v>
          </cell>
        </row>
        <row r="497">
          <cell r="A497">
            <v>130061107</v>
          </cell>
          <cell r="B497" t="str">
            <v>INT. RECV. - TERM LOAN WORKING C</v>
          </cell>
          <cell r="C497">
            <v>3138590700.54</v>
          </cell>
          <cell r="D497">
            <v>0</v>
          </cell>
          <cell r="E497">
            <v>3138590700.54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3138590700.54</v>
          </cell>
          <cell r="T497">
            <v>3138590700.54</v>
          </cell>
        </row>
        <row r="498">
          <cell r="A498">
            <v>130061109</v>
          </cell>
          <cell r="B498" t="str">
            <v>INT. RECV. - TERM LOAN  CBN SME</v>
          </cell>
          <cell r="C498">
            <v>9155.43</v>
          </cell>
          <cell r="D498">
            <v>0</v>
          </cell>
          <cell r="E498">
            <v>9155.43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9155.43</v>
          </cell>
          <cell r="T498">
            <v>9155.43</v>
          </cell>
        </row>
        <row r="499">
          <cell r="A499">
            <v>130061112</v>
          </cell>
          <cell r="B499" t="str">
            <v>INT RECV COOP BLUE-CHIP (CSBM)</v>
          </cell>
          <cell r="C499">
            <v>0</v>
          </cell>
          <cell r="D499">
            <v>0</v>
          </cell>
          <cell r="E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</row>
        <row r="500">
          <cell r="A500">
            <v>130061113</v>
          </cell>
          <cell r="B500" t="str">
            <v>INT. RECV. - TERM LOAN -STATE BA</v>
          </cell>
          <cell r="C500">
            <v>11825198613.91</v>
          </cell>
          <cell r="D500">
            <v>0</v>
          </cell>
          <cell r="E500">
            <v>11825198613.91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11825198613.91</v>
          </cell>
          <cell r="T500">
            <v>11825198613.91</v>
          </cell>
        </row>
        <row r="501">
          <cell r="A501">
            <v>130061116</v>
          </cell>
          <cell r="B501" t="str">
            <v>INT  RECV- TERM LOAN -CBN HEALTH</v>
          </cell>
          <cell r="C501">
            <v>9056320.5600000005</v>
          </cell>
          <cell r="D501">
            <v>0</v>
          </cell>
          <cell r="E501">
            <v>9056320.5600000005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9056320.5600000005</v>
          </cell>
          <cell r="T501">
            <v>9056320.5600000005</v>
          </cell>
        </row>
        <row r="502">
          <cell r="A502">
            <v>130061120</v>
          </cell>
          <cell r="B502" t="str">
            <v>INT. RECV. -TERM LOANSá CORPORAT</v>
          </cell>
          <cell r="C502">
            <v>195163419.81999999</v>
          </cell>
          <cell r="D502">
            <v>0</v>
          </cell>
          <cell r="E502">
            <v>195163419.81999999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-151847431.25999999</v>
          </cell>
          <cell r="P502">
            <v>0</v>
          </cell>
          <cell r="Q502">
            <v>0</v>
          </cell>
          <cell r="R502">
            <v>0</v>
          </cell>
          <cell r="S502">
            <v>43315988.560000002</v>
          </cell>
          <cell r="T502">
            <v>43315988.560000002</v>
          </cell>
        </row>
        <row r="503">
          <cell r="A503">
            <v>130061201</v>
          </cell>
          <cell r="B503" t="str">
            <v>INT. RECV. - TERM LOANS   INDIVI</v>
          </cell>
          <cell r="C503">
            <v>39185122.009999998</v>
          </cell>
          <cell r="D503">
            <v>0</v>
          </cell>
          <cell r="E503">
            <v>39185122.009999998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39185122.009999998</v>
          </cell>
          <cell r="T503">
            <v>39185122.009999998</v>
          </cell>
        </row>
        <row r="504">
          <cell r="A504">
            <v>130061203</v>
          </cell>
          <cell r="B504" t="str">
            <v>INT. RECV. - POLARIS SALARY EXPR</v>
          </cell>
          <cell r="C504">
            <v>930.8</v>
          </cell>
          <cell r="D504">
            <v>0</v>
          </cell>
          <cell r="E504">
            <v>930.8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930.8</v>
          </cell>
          <cell r="T504">
            <v>930.8</v>
          </cell>
        </row>
        <row r="505">
          <cell r="A505">
            <v>130061205</v>
          </cell>
          <cell r="B505" t="str">
            <v>INT. RECV. - RETAIL  PERSONAL LO</v>
          </cell>
          <cell r="C505">
            <v>436075115.02999997</v>
          </cell>
          <cell r="D505">
            <v>0</v>
          </cell>
          <cell r="E505">
            <v>436075115.02999997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436075115.02999997</v>
          </cell>
          <cell r="T505">
            <v>436075115.02999997</v>
          </cell>
        </row>
        <row r="506">
          <cell r="A506">
            <v>130061206</v>
          </cell>
          <cell r="B506" t="str">
            <v>INT. RECV. - RETAIL  AUTO LOAN (</v>
          </cell>
          <cell r="C506">
            <v>25819599.100000001</v>
          </cell>
          <cell r="D506">
            <v>0</v>
          </cell>
          <cell r="E506">
            <v>25819599.100000001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25819599.100000001</v>
          </cell>
          <cell r="T506">
            <v>25819599.100000001</v>
          </cell>
        </row>
        <row r="507">
          <cell r="A507">
            <v>130061207</v>
          </cell>
          <cell r="B507" t="str">
            <v>INT. RECV. - LIFESTYLE  - LOAN A</v>
          </cell>
          <cell r="C507">
            <v>253133.34</v>
          </cell>
          <cell r="D507">
            <v>0</v>
          </cell>
          <cell r="E507">
            <v>253133.34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253133.34</v>
          </cell>
          <cell r="T507">
            <v>253133.34</v>
          </cell>
        </row>
        <row r="508">
          <cell r="A508">
            <v>130061208</v>
          </cell>
          <cell r="B508" t="str">
            <v>INT. RECV. - TERM LOAN MORTGAGES</v>
          </cell>
          <cell r="C508">
            <v>6514253.1100000003</v>
          </cell>
          <cell r="D508">
            <v>0</v>
          </cell>
          <cell r="E508">
            <v>6514253.1100000003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6514253.1100000003</v>
          </cell>
          <cell r="T508">
            <v>6514253.1100000003</v>
          </cell>
        </row>
        <row r="509">
          <cell r="A509">
            <v>130061210</v>
          </cell>
          <cell r="B509" t="str">
            <v>INT. RECV. - TERM LOAN HOLIDAY</v>
          </cell>
          <cell r="C509">
            <v>0</v>
          </cell>
          <cell r="D509">
            <v>0</v>
          </cell>
          <cell r="E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</row>
        <row r="510">
          <cell r="A510">
            <v>130061211</v>
          </cell>
          <cell r="B510" t="str">
            <v>INT. RECV. - TERM LOAN RETAIL HO</v>
          </cell>
          <cell r="C510">
            <v>370520.55</v>
          </cell>
          <cell r="D510">
            <v>0</v>
          </cell>
          <cell r="E510">
            <v>370520.55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370520.55</v>
          </cell>
          <cell r="T510">
            <v>370520.55</v>
          </cell>
        </row>
        <row r="511">
          <cell r="A511">
            <v>130061212</v>
          </cell>
          <cell r="B511" t="str">
            <v>INT. RECV. - TERM LOAN TRAVEL AG</v>
          </cell>
          <cell r="C511">
            <v>0</v>
          </cell>
          <cell r="D511">
            <v>0</v>
          </cell>
          <cell r="E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</row>
        <row r="512">
          <cell r="A512">
            <v>130061214</v>
          </cell>
          <cell r="B512" t="str">
            <v>INT. RECV.- RETAIL  AUTO LOAN (B</v>
          </cell>
          <cell r="C512">
            <v>1847607.1</v>
          </cell>
          <cell r="D512">
            <v>0</v>
          </cell>
          <cell r="E512">
            <v>1847607.1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1847607.1</v>
          </cell>
          <cell r="T512">
            <v>1847607.1</v>
          </cell>
        </row>
        <row r="513">
          <cell r="A513">
            <v>130061216</v>
          </cell>
          <cell r="B513" t="str">
            <v>INT. RECV. - RETAIL SPECIAL TERM</v>
          </cell>
          <cell r="C513">
            <v>5221921.09</v>
          </cell>
          <cell r="D513">
            <v>0</v>
          </cell>
          <cell r="E513">
            <v>5221921.09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5221921.09</v>
          </cell>
          <cell r="T513">
            <v>5221921.09</v>
          </cell>
        </row>
        <row r="514">
          <cell r="A514">
            <v>130061219</v>
          </cell>
          <cell r="B514" t="str">
            <v>INT. RECV. - TERM LOAN- HEALTH L</v>
          </cell>
          <cell r="C514">
            <v>20804.23</v>
          </cell>
          <cell r="D514">
            <v>0</v>
          </cell>
          <cell r="E514">
            <v>20804.23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20804.23</v>
          </cell>
          <cell r="T514">
            <v>20804.23</v>
          </cell>
        </row>
        <row r="515">
          <cell r="A515">
            <v>130061220</v>
          </cell>
          <cell r="B515" t="str">
            <v>INT. RECV. - TERM LOAN- HEALTH L</v>
          </cell>
          <cell r="C515">
            <v>3747.72</v>
          </cell>
          <cell r="D515">
            <v>0</v>
          </cell>
          <cell r="E515">
            <v>3747.72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3747.72</v>
          </cell>
          <cell r="T515">
            <v>3747.72</v>
          </cell>
        </row>
        <row r="516">
          <cell r="A516">
            <v>130061251</v>
          </cell>
          <cell r="B516" t="str">
            <v>INT. RECV.- RETAIL SBG - ASSET F</v>
          </cell>
          <cell r="C516">
            <v>0</v>
          </cell>
          <cell r="D516">
            <v>0</v>
          </cell>
          <cell r="E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</row>
        <row r="517">
          <cell r="A517">
            <v>130061253</v>
          </cell>
          <cell r="B517" t="str">
            <v>INT. RECV.- RETAIL SBG - INVOICE</v>
          </cell>
          <cell r="C517">
            <v>0</v>
          </cell>
          <cell r="D517">
            <v>0</v>
          </cell>
          <cell r="E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</row>
        <row r="518">
          <cell r="A518">
            <v>130061255</v>
          </cell>
          <cell r="B518" t="str">
            <v>INT. RECV. -RETAIL SBG - BRIDGIN</v>
          </cell>
          <cell r="C518">
            <v>0</v>
          </cell>
          <cell r="D518">
            <v>0</v>
          </cell>
          <cell r="E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</row>
        <row r="519">
          <cell r="A519">
            <v>130061256</v>
          </cell>
          <cell r="B519" t="str">
            <v>INT. RECV. -RETAIL SBG - CONTRAC</v>
          </cell>
          <cell r="C519">
            <v>0</v>
          </cell>
          <cell r="D519">
            <v>0</v>
          </cell>
          <cell r="E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</row>
        <row r="520">
          <cell r="A520">
            <v>130061259</v>
          </cell>
          <cell r="B520" t="str">
            <v>INT. RECV. -RETAIL SBG - TERM LO</v>
          </cell>
          <cell r="C520">
            <v>1337.77</v>
          </cell>
          <cell r="D520">
            <v>0</v>
          </cell>
          <cell r="E520">
            <v>1337.77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1337.77</v>
          </cell>
          <cell r="T520">
            <v>1337.77</v>
          </cell>
        </row>
        <row r="521">
          <cell r="A521">
            <v>130061260</v>
          </cell>
          <cell r="B521" t="str">
            <v>INT. RECV. -  RETAIL SBG - SSA A</v>
          </cell>
          <cell r="C521">
            <v>10038956.41</v>
          </cell>
          <cell r="D521">
            <v>0</v>
          </cell>
          <cell r="E521">
            <v>10038956.41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10038956.41</v>
          </cell>
          <cell r="T521">
            <v>10038956.41</v>
          </cell>
        </row>
        <row r="522">
          <cell r="A522">
            <v>130061261</v>
          </cell>
          <cell r="B522" t="str">
            <v>INT. RECV. -  RETAIL SBG - SSA S</v>
          </cell>
          <cell r="C522">
            <v>4775933.0599999996</v>
          </cell>
          <cell r="D522">
            <v>0</v>
          </cell>
          <cell r="E522">
            <v>4775933.0599999996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4775933.0599999996</v>
          </cell>
          <cell r="T522">
            <v>4775933.0599999996</v>
          </cell>
        </row>
        <row r="523">
          <cell r="A523" t="str">
            <v>_x0012_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</row>
        <row r="524"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</row>
        <row r="525">
          <cell r="C525" t="str">
            <v>Polaris Bank Limited, N</v>
          </cell>
          <cell r="D525" t="str">
            <v>igeria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</row>
        <row r="526">
          <cell r="C526" t="str">
            <v>** Consolidated Balance Shee</v>
          </cell>
          <cell r="D526" t="str">
            <v>t CBN **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</row>
        <row r="527"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</row>
        <row r="528">
          <cell r="C528" t="str">
            <v>As on :     31-OCT-2025</v>
          </cell>
          <cell r="E528" t="str">
            <v>Page   :   10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</row>
        <row r="529"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</row>
        <row r="530">
          <cell r="A530" t="str">
            <v>User Id :</v>
          </cell>
          <cell r="B530" t="str">
            <v>SYSTEM</v>
          </cell>
          <cell r="C530" t="str">
            <v>Date 1 Time :     01-NOV-2025</v>
          </cell>
          <cell r="D530">
            <v>0.21625000000000003</v>
          </cell>
          <cell r="E530" t="str">
            <v>Module :   GL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</row>
        <row r="531">
          <cell r="A531" t="str">
            <v>----------</v>
          </cell>
          <cell r="B531" t="str">
            <v>----------------------------------------</v>
          </cell>
          <cell r="C531" t="str">
            <v>------------------------------</v>
          </cell>
          <cell r="D531" t="str">
            <v>------------------------------</v>
          </cell>
          <cell r="E531" t="str">
            <v>----------------------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</row>
        <row r="532">
          <cell r="A532" t="str">
            <v>GL Code</v>
          </cell>
          <cell r="B532" t="str">
            <v>Description</v>
          </cell>
          <cell r="C532" t="str">
            <v>LCY Amount</v>
          </cell>
          <cell r="D532" t="str">
            <v>FCY Amount (Lcy Eq)</v>
          </cell>
          <cell r="E532" t="str">
            <v>Total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</row>
        <row r="534">
          <cell r="A534" t="str">
            <v>----------</v>
          </cell>
          <cell r="B534" t="str">
            <v>----------------------------------------</v>
          </cell>
          <cell r="C534" t="str">
            <v>------------------------------</v>
          </cell>
          <cell r="D534" t="str">
            <v>------------------------------</v>
          </cell>
          <cell r="E534" t="str">
            <v>----------------------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</row>
        <row r="535">
          <cell r="A535" t="str">
            <v>Asset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</row>
        <row r="537">
          <cell r="A537">
            <v>130061262</v>
          </cell>
          <cell r="B537" t="str">
            <v>INT. RECV. - SBG / CBN- MSMEDF T</v>
          </cell>
          <cell r="C537">
            <v>0</v>
          </cell>
          <cell r="D537">
            <v>0</v>
          </cell>
          <cell r="E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</row>
        <row r="538">
          <cell r="A538">
            <v>130061264</v>
          </cell>
          <cell r="B538" t="str">
            <v>INT. RECV. - RETAIL SBG -INSTALM</v>
          </cell>
          <cell r="C538">
            <v>7400.74</v>
          </cell>
          <cell r="D538">
            <v>0</v>
          </cell>
          <cell r="E538">
            <v>7400.74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7400.74</v>
          </cell>
          <cell r="T538">
            <v>7400.74</v>
          </cell>
        </row>
        <row r="539">
          <cell r="A539">
            <v>130061265</v>
          </cell>
          <cell r="B539" t="str">
            <v>INT. RECV. -  RETAIL SBG - SSA A</v>
          </cell>
          <cell r="C539">
            <v>0</v>
          </cell>
          <cell r="D539">
            <v>0</v>
          </cell>
          <cell r="E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</row>
        <row r="540">
          <cell r="A540">
            <v>130061269</v>
          </cell>
          <cell r="B540" t="str">
            <v>INT. RECV. - BUSINESS LOAN TERM</v>
          </cell>
          <cell r="C540">
            <v>14571612.199999999</v>
          </cell>
          <cell r="D540">
            <v>0</v>
          </cell>
          <cell r="E540">
            <v>14571612.199999999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14571612.199999999</v>
          </cell>
          <cell r="T540">
            <v>14571612.199999999</v>
          </cell>
        </row>
        <row r="541">
          <cell r="A541">
            <v>130061306</v>
          </cell>
          <cell r="B541" t="str">
            <v>INT RECV COOP PUBLIC SEC (CSPO)</v>
          </cell>
          <cell r="C541">
            <v>0</v>
          </cell>
          <cell r="D541">
            <v>0</v>
          </cell>
          <cell r="E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</row>
        <row r="542">
          <cell r="A542">
            <v>130061401</v>
          </cell>
          <cell r="B542" t="str">
            <v>INT. RECV. - FOREIGN LOANS CORPO</v>
          </cell>
          <cell r="C542">
            <v>-13132497.91</v>
          </cell>
          <cell r="D542">
            <v>1346731061.3900001</v>
          </cell>
          <cell r="E542">
            <v>1333598563.48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1333598563.48</v>
          </cell>
          <cell r="T542">
            <v>1333598563.48</v>
          </cell>
        </row>
        <row r="543">
          <cell r="A543">
            <v>130062103</v>
          </cell>
          <cell r="B543" t="str">
            <v>INT. RECV. - CONTRACT FINANCE(CT</v>
          </cell>
          <cell r="C543">
            <v>263086517.03</v>
          </cell>
          <cell r="D543">
            <v>0</v>
          </cell>
          <cell r="E543">
            <v>263086517.03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263086517.03</v>
          </cell>
          <cell r="T543">
            <v>263086517.03</v>
          </cell>
        </row>
        <row r="544">
          <cell r="A544">
            <v>130062104</v>
          </cell>
          <cell r="B544" t="str">
            <v>INT. RECV. - LPO FINANCE (LPOF)-</v>
          </cell>
          <cell r="C544">
            <v>97394358.799999997</v>
          </cell>
          <cell r="D544">
            <v>0</v>
          </cell>
          <cell r="E544">
            <v>97394358.799999997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97394358.799999997</v>
          </cell>
          <cell r="T544">
            <v>97394358.799999997</v>
          </cell>
        </row>
        <row r="545">
          <cell r="A545">
            <v>130062105</v>
          </cell>
          <cell r="B545" t="str">
            <v>INT. RECV. - INVOICE DISCOUNTING</v>
          </cell>
          <cell r="C545">
            <v>7628531.5099999998</v>
          </cell>
          <cell r="D545">
            <v>0</v>
          </cell>
          <cell r="E545">
            <v>7628531.5099999998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7628531.5099999998</v>
          </cell>
          <cell r="T545">
            <v>7628531.5099999998</v>
          </cell>
        </row>
        <row r="546">
          <cell r="A546">
            <v>130062106</v>
          </cell>
          <cell r="B546" t="str">
            <v>INT. RECV. - BILL DISCOUNTING(BI</v>
          </cell>
          <cell r="C546">
            <v>0</v>
          </cell>
          <cell r="D546">
            <v>0</v>
          </cell>
          <cell r="E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</row>
        <row r="547">
          <cell r="A547">
            <v>130062107</v>
          </cell>
          <cell r="B547" t="str">
            <v>INT. RECV. - IMPORT FINANCE(IMPF</v>
          </cell>
          <cell r="C547">
            <v>35293064.219999999</v>
          </cell>
          <cell r="D547">
            <v>0</v>
          </cell>
          <cell r="E547">
            <v>35293064.219999999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35293064.219999999</v>
          </cell>
          <cell r="T547">
            <v>35293064.219999999</v>
          </cell>
        </row>
        <row r="548">
          <cell r="A548">
            <v>130062109</v>
          </cell>
          <cell r="B548" t="str">
            <v>INT. RECV. - STOCK FINANCE (STFI</v>
          </cell>
          <cell r="C548">
            <v>0</v>
          </cell>
          <cell r="D548">
            <v>0</v>
          </cell>
          <cell r="E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</row>
        <row r="549">
          <cell r="A549">
            <v>130062110</v>
          </cell>
          <cell r="B549" t="str">
            <v>INT. RECV. - ADVANCE WORKING CAP</v>
          </cell>
          <cell r="C549">
            <v>0</v>
          </cell>
          <cell r="D549">
            <v>0</v>
          </cell>
          <cell r="E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</row>
        <row r="550">
          <cell r="A550">
            <v>130062111</v>
          </cell>
          <cell r="B550" t="str">
            <v>INT. RECV. - ADVANCE BRIDGING FI</v>
          </cell>
          <cell r="C550">
            <v>17068679.460000001</v>
          </cell>
          <cell r="D550">
            <v>1664867629.3099999</v>
          </cell>
          <cell r="E550">
            <v>1681936308.77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1681936308.77</v>
          </cell>
          <cell r="T550">
            <v>1681936308.77</v>
          </cell>
        </row>
        <row r="551">
          <cell r="A551">
            <v>130062115</v>
          </cell>
          <cell r="B551" t="str">
            <v>INT. RECV. - ADVANCE WORKING CAP</v>
          </cell>
          <cell r="C551">
            <v>956922409.75</v>
          </cell>
          <cell r="D551">
            <v>155164598.47999999</v>
          </cell>
          <cell r="E551">
            <v>1112087008.23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1112087008.23</v>
          </cell>
          <cell r="T551">
            <v>1112087008.23</v>
          </cell>
        </row>
        <row r="552">
          <cell r="A552">
            <v>130062116</v>
          </cell>
          <cell r="B552" t="str">
            <v>INT. RECV-CLEANLINE - POSITION F</v>
          </cell>
          <cell r="C552">
            <v>0</v>
          </cell>
          <cell r="D552">
            <v>301462725.49000001</v>
          </cell>
          <cell r="E552">
            <v>301462725.49000001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301462725.49000001</v>
          </cell>
          <cell r="T552">
            <v>301462725.49000001</v>
          </cell>
        </row>
        <row r="553">
          <cell r="A553">
            <v>130062117</v>
          </cell>
          <cell r="B553" t="str">
            <v>INT. RECV. - ADVANCES</v>
          </cell>
          <cell r="C553">
            <v>-183922179.38999999</v>
          </cell>
          <cell r="D553">
            <v>742094.65</v>
          </cell>
          <cell r="E553">
            <v>-183180084.74000001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-183180084.74000001</v>
          </cell>
          <cell r="T553">
            <v>-183180084.74000001</v>
          </cell>
        </row>
        <row r="554">
          <cell r="A554">
            <v>130062202</v>
          </cell>
          <cell r="B554" t="str">
            <v>INT. RECV. - POLARIS EDUCARE - P</v>
          </cell>
          <cell r="C554">
            <v>0</v>
          </cell>
          <cell r="D554">
            <v>0</v>
          </cell>
          <cell r="E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</row>
        <row r="555">
          <cell r="A555">
            <v>130062203</v>
          </cell>
          <cell r="B555" t="str">
            <v>INT .  RECV .  - RETAIL SBG ADVA</v>
          </cell>
          <cell r="C555">
            <v>0</v>
          </cell>
          <cell r="D555">
            <v>0</v>
          </cell>
          <cell r="E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</row>
        <row r="556">
          <cell r="A556">
            <v>130063100</v>
          </cell>
          <cell r="B556" t="str">
            <v>INT. RECEIVABLE - ADV UNDER LEAS</v>
          </cell>
          <cell r="C556">
            <v>11001374.33</v>
          </cell>
          <cell r="D556">
            <v>0</v>
          </cell>
          <cell r="E556">
            <v>11001374.33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11001374.33</v>
          </cell>
          <cell r="T556">
            <v>11001374.33</v>
          </cell>
        </row>
        <row r="557">
          <cell r="A557">
            <v>130064101</v>
          </cell>
          <cell r="B557" t="str">
            <v>INT. RECV. - OVERDRAFTS   STD CU</v>
          </cell>
          <cell r="C557">
            <v>14936754.93</v>
          </cell>
          <cell r="D557">
            <v>32430.82</v>
          </cell>
          <cell r="E557">
            <v>14969185.75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14969185.75</v>
          </cell>
          <cell r="T557">
            <v>14969185.75</v>
          </cell>
        </row>
        <row r="558">
          <cell r="A558">
            <v>130064109</v>
          </cell>
          <cell r="B558" t="str">
            <v>INT. RECV.  OVERDRAFT - POLARIS</v>
          </cell>
          <cell r="C558">
            <v>0</v>
          </cell>
          <cell r="D558">
            <v>0</v>
          </cell>
          <cell r="E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</row>
        <row r="559">
          <cell r="A559">
            <v>130064201</v>
          </cell>
          <cell r="B559" t="str">
            <v>INT. RECV. - OVERDRAFTS   STD CU</v>
          </cell>
          <cell r="C559">
            <v>-2104791.4300000002</v>
          </cell>
          <cell r="D559">
            <v>-256.73</v>
          </cell>
          <cell r="E559">
            <v>-2105048.16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-2105048.16</v>
          </cell>
          <cell r="T559">
            <v>-2105048.16</v>
          </cell>
        </row>
        <row r="560">
          <cell r="A560">
            <v>130064202</v>
          </cell>
          <cell r="B560" t="str">
            <v>INT. RECV. - OVERDRAFTS   STAFF</v>
          </cell>
          <cell r="C560">
            <v>127404.59</v>
          </cell>
          <cell r="D560">
            <v>0</v>
          </cell>
          <cell r="E560">
            <v>127404.59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127404.59</v>
          </cell>
          <cell r="T560">
            <v>127404.59</v>
          </cell>
        </row>
        <row r="561">
          <cell r="A561">
            <v>130064203</v>
          </cell>
          <cell r="B561" t="str">
            <v>INT. RECV. - OVERDRAFTS POLARIS</v>
          </cell>
          <cell r="C561">
            <v>-568.87</v>
          </cell>
          <cell r="D561">
            <v>28.52</v>
          </cell>
          <cell r="E561">
            <v>-540.35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-540.35</v>
          </cell>
          <cell r="T561">
            <v>-540.35</v>
          </cell>
        </row>
        <row r="562">
          <cell r="A562">
            <v>130064206</v>
          </cell>
          <cell r="B562" t="str">
            <v>INT. RECV. - OVERDRAFTS   STD  S</v>
          </cell>
          <cell r="C562">
            <v>0</v>
          </cell>
          <cell r="D562">
            <v>0</v>
          </cell>
          <cell r="E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</row>
        <row r="563">
          <cell r="A563">
            <v>130064208</v>
          </cell>
          <cell r="B563" t="str">
            <v>INT. RECV. - OVERDRAFT SUREPADI</v>
          </cell>
          <cell r="C563">
            <v>0</v>
          </cell>
          <cell r="D563">
            <v>0</v>
          </cell>
          <cell r="E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</row>
        <row r="564">
          <cell r="A564">
            <v>130064301</v>
          </cell>
          <cell r="B564" t="str">
            <v>INT. RECV. - OVERDRAFT   FEDERAL</v>
          </cell>
          <cell r="C564">
            <v>-136632.19</v>
          </cell>
          <cell r="D564">
            <v>0</v>
          </cell>
          <cell r="E564">
            <v>-136632.19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-136632.19</v>
          </cell>
          <cell r="T564">
            <v>-136632.19</v>
          </cell>
        </row>
        <row r="565">
          <cell r="A565">
            <v>130064302</v>
          </cell>
          <cell r="B565" t="str">
            <v>INT. RECV. - OVERDRAFT   STATE G</v>
          </cell>
          <cell r="C565">
            <v>0</v>
          </cell>
          <cell r="D565">
            <v>0</v>
          </cell>
          <cell r="E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</row>
        <row r="566">
          <cell r="A566">
            <v>130064303</v>
          </cell>
          <cell r="B566" t="str">
            <v>INT. RECV. - OVERDRAFT   LOCAL G</v>
          </cell>
          <cell r="C566">
            <v>0</v>
          </cell>
          <cell r="D566">
            <v>0</v>
          </cell>
          <cell r="E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</row>
        <row r="567">
          <cell r="A567">
            <v>130064304</v>
          </cell>
          <cell r="B567" t="str">
            <v>INT. RECV. - OVERDRAFT   FEDERAL</v>
          </cell>
          <cell r="C567">
            <v>0</v>
          </cell>
          <cell r="D567">
            <v>0</v>
          </cell>
          <cell r="E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</row>
        <row r="568">
          <cell r="A568">
            <v>130064305</v>
          </cell>
          <cell r="B568" t="str">
            <v>INT. RECV. - OVERDRAFT   STATE P</v>
          </cell>
          <cell r="C568">
            <v>1412.87</v>
          </cell>
          <cell r="D568">
            <v>0</v>
          </cell>
          <cell r="E568">
            <v>1412.87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1412.87</v>
          </cell>
          <cell r="T568">
            <v>1412.87</v>
          </cell>
        </row>
        <row r="569">
          <cell r="A569">
            <v>130065102</v>
          </cell>
          <cell r="B569" t="str">
            <v>INT. RECV. - STAFF LOAN   MORTGA</v>
          </cell>
          <cell r="C569">
            <v>1453942.27</v>
          </cell>
          <cell r="D569">
            <v>0</v>
          </cell>
          <cell r="E569">
            <v>1453942.27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1453942.27</v>
          </cell>
          <cell r="T569">
            <v>1453942.27</v>
          </cell>
        </row>
        <row r="570">
          <cell r="A570">
            <v>130065103</v>
          </cell>
          <cell r="B570" t="str">
            <v>INT. RECV. - STAFF LOANS   CAR L</v>
          </cell>
          <cell r="C570">
            <v>0</v>
          </cell>
          <cell r="D570">
            <v>0</v>
          </cell>
          <cell r="E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</row>
        <row r="571">
          <cell r="A571">
            <v>130065204</v>
          </cell>
          <cell r="B571" t="str">
            <v>MBL - INT. RECV.  CONVERSION GL</v>
          </cell>
          <cell r="C571">
            <v>159070900.63</v>
          </cell>
          <cell r="D571">
            <v>0</v>
          </cell>
          <cell r="E571">
            <v>159070900.63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159070900.63</v>
          </cell>
          <cell r="T571">
            <v>159070900.63</v>
          </cell>
        </row>
        <row r="572">
          <cell r="A572">
            <v>140010101</v>
          </cell>
          <cell r="B572" t="str">
            <v>FEDERAL GOVERNMENT BONDS (FVTPL)</v>
          </cell>
          <cell r="C572">
            <v>8912649619.3700008</v>
          </cell>
          <cell r="D572">
            <v>0</v>
          </cell>
          <cell r="E572">
            <v>8912649619.3700008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8912649619.3700008</v>
          </cell>
          <cell r="T572">
            <v>8912649619.3700008</v>
          </cell>
        </row>
        <row r="573">
          <cell r="A573">
            <v>140010102</v>
          </cell>
          <cell r="B573" t="str">
            <v>LOCAL GOVERNMENT BONDSá (FVTPL)</v>
          </cell>
          <cell r="C573">
            <v>0</v>
          </cell>
          <cell r="D573">
            <v>0</v>
          </cell>
          <cell r="E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</row>
        <row r="574">
          <cell r="A574">
            <v>140010103</v>
          </cell>
          <cell r="B574" t="str">
            <v>CORPORATE BONDSá (FVTPL)</v>
          </cell>
          <cell r="C574">
            <v>0</v>
          </cell>
          <cell r="D574">
            <v>0</v>
          </cell>
          <cell r="E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</row>
        <row r="575">
          <cell r="A575">
            <v>140010104</v>
          </cell>
          <cell r="B575" t="str">
            <v>EURO BONDSá (FVTPL)</v>
          </cell>
          <cell r="C575">
            <v>0</v>
          </cell>
          <cell r="D575">
            <v>34228800000</v>
          </cell>
          <cell r="E575">
            <v>34228800000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34228800000</v>
          </cell>
          <cell r="T575">
            <v>34228800000</v>
          </cell>
        </row>
        <row r="576">
          <cell r="A576">
            <v>140010106</v>
          </cell>
          <cell r="B576" t="str">
            <v>PROMISORY NOTES (FVTPL)</v>
          </cell>
          <cell r="C576">
            <v>4000000000</v>
          </cell>
          <cell r="D576">
            <v>0</v>
          </cell>
          <cell r="E576">
            <v>4000000000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4000000000</v>
          </cell>
          <cell r="T576">
            <v>4000000000</v>
          </cell>
        </row>
        <row r="577">
          <cell r="A577">
            <v>140010200</v>
          </cell>
          <cell r="B577" t="str">
            <v>TREASURY BILLS (FVTPL)</v>
          </cell>
          <cell r="C577">
            <v>11881893639.5</v>
          </cell>
          <cell r="D577">
            <v>0</v>
          </cell>
          <cell r="E577">
            <v>11881893639.5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11881893639.5</v>
          </cell>
          <cell r="T577">
            <v>11881893639.5</v>
          </cell>
        </row>
        <row r="578">
          <cell r="A578">
            <v>140010300</v>
          </cell>
          <cell r="B578" t="str">
            <v>CBN SPECIAL T.BILLS</v>
          </cell>
          <cell r="C578">
            <v>0</v>
          </cell>
          <cell r="D578">
            <v>0</v>
          </cell>
          <cell r="E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</row>
        <row r="579">
          <cell r="A579">
            <v>140010400</v>
          </cell>
          <cell r="B579" t="str">
            <v>CONVERSION GL -FGN BONDS HFT</v>
          </cell>
          <cell r="C579">
            <v>0</v>
          </cell>
          <cell r="D579">
            <v>0</v>
          </cell>
          <cell r="E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</row>
        <row r="580">
          <cell r="A580">
            <v>140020101</v>
          </cell>
          <cell r="B580" t="str">
            <v>FEDERAL GOVERNMENT BONDSá (FVTOC</v>
          </cell>
          <cell r="C580">
            <v>0</v>
          </cell>
          <cell r="D580">
            <v>0</v>
          </cell>
          <cell r="E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</row>
        <row r="581">
          <cell r="A581" t="str">
            <v>_x0012_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</row>
        <row r="582"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</row>
        <row r="583">
          <cell r="C583" t="str">
            <v>Polaris Bank Limited, N</v>
          </cell>
          <cell r="D583" t="str">
            <v>igeria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</row>
        <row r="584">
          <cell r="C584" t="str">
            <v>** Consolidated Balance Shee</v>
          </cell>
          <cell r="D584" t="str">
            <v>t CBN **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</row>
        <row r="585"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</row>
        <row r="586">
          <cell r="C586" t="str">
            <v>As on :     31-OCT-2025</v>
          </cell>
          <cell r="E586" t="str">
            <v>Page   :   11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</row>
        <row r="587"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</row>
        <row r="588">
          <cell r="A588" t="str">
            <v>User Id :</v>
          </cell>
          <cell r="B588" t="str">
            <v>SYSTEM</v>
          </cell>
          <cell r="C588" t="str">
            <v>Date 1 Time :     01-NOV-2025</v>
          </cell>
          <cell r="D588">
            <v>0.21625000000000003</v>
          </cell>
          <cell r="E588" t="str">
            <v>Module :   GL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</row>
        <row r="589">
          <cell r="A589" t="str">
            <v>----------</v>
          </cell>
          <cell r="B589" t="str">
            <v>----------------------------------------</v>
          </cell>
          <cell r="C589" t="str">
            <v>------------------------------</v>
          </cell>
          <cell r="D589" t="str">
            <v>------------------------------</v>
          </cell>
          <cell r="E589" t="str">
            <v>----------------------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</row>
        <row r="590">
          <cell r="A590" t="str">
            <v>GL Code</v>
          </cell>
          <cell r="B590" t="str">
            <v>Description</v>
          </cell>
          <cell r="C590" t="str">
            <v>LCY Amount</v>
          </cell>
          <cell r="D590" t="str">
            <v>FCY Amount (Lcy Eq)</v>
          </cell>
          <cell r="E590" t="str">
            <v>Total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</row>
        <row r="591"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</row>
        <row r="592">
          <cell r="A592" t="str">
            <v>----------</v>
          </cell>
          <cell r="B592" t="str">
            <v>----------------------------------------</v>
          </cell>
          <cell r="C592" t="str">
            <v>------------------------------</v>
          </cell>
          <cell r="D592" t="str">
            <v>------------------------------</v>
          </cell>
          <cell r="E592" t="str">
            <v>----------------------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</row>
        <row r="593">
          <cell r="A593" t="str">
            <v>Asset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</row>
        <row r="594"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</row>
        <row r="595">
          <cell r="A595">
            <v>140020102</v>
          </cell>
          <cell r="B595" t="str">
            <v>LOCAL GOVERNMENT BONDSá (FVTOCI)</v>
          </cell>
          <cell r="C595">
            <v>0</v>
          </cell>
          <cell r="D595">
            <v>0</v>
          </cell>
          <cell r="E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</row>
        <row r="596">
          <cell r="A596">
            <v>140020103</v>
          </cell>
          <cell r="B596" t="str">
            <v>CORPORATE BONDSá (FVTOCI)</v>
          </cell>
          <cell r="C596">
            <v>0</v>
          </cell>
          <cell r="D596">
            <v>0</v>
          </cell>
          <cell r="E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</row>
        <row r="597">
          <cell r="A597">
            <v>140020200</v>
          </cell>
          <cell r="B597" t="str">
            <v>TREASURY BILLS (FVTOCI)</v>
          </cell>
          <cell r="C597">
            <v>0</v>
          </cell>
          <cell r="D597">
            <v>0</v>
          </cell>
          <cell r="E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</row>
        <row r="598">
          <cell r="A598">
            <v>140030101</v>
          </cell>
          <cell r="B598" t="str">
            <v>FEDERAL GOVERNMENT BONDSá (AMORT</v>
          </cell>
          <cell r="C598">
            <v>205375475000</v>
          </cell>
          <cell r="D598">
            <v>0</v>
          </cell>
          <cell r="E598">
            <v>205375475000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205375475000</v>
          </cell>
          <cell r="T598">
            <v>205375475000</v>
          </cell>
        </row>
        <row r="599">
          <cell r="A599">
            <v>140030105</v>
          </cell>
          <cell r="B599" t="str">
            <v>EURO BONDSá (AMORTISED COST)</v>
          </cell>
          <cell r="C599">
            <v>0</v>
          </cell>
          <cell r="D599">
            <v>41346251057.209999</v>
          </cell>
          <cell r="E599">
            <v>41346251057.209999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41346251057.209999</v>
          </cell>
          <cell r="T599">
            <v>41346251057.209999</v>
          </cell>
        </row>
        <row r="600">
          <cell r="A600">
            <v>140030106</v>
          </cell>
          <cell r="B600" t="str">
            <v>PROMISORY NOTES (AMORTISED)</v>
          </cell>
          <cell r="C600">
            <v>15169641769.360001</v>
          </cell>
          <cell r="D600">
            <v>0</v>
          </cell>
          <cell r="E600">
            <v>15169641769.360001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15169641769.360001</v>
          </cell>
          <cell r="T600">
            <v>15169641769.360001</v>
          </cell>
        </row>
        <row r="601">
          <cell r="A601">
            <v>140030200</v>
          </cell>
          <cell r="B601" t="str">
            <v>INTEREST RECEIVABLE ON FGN BONDS</v>
          </cell>
          <cell r="C601">
            <v>1672666803.6300001</v>
          </cell>
          <cell r="D601">
            <v>0</v>
          </cell>
          <cell r="E601">
            <v>1672666803.6300001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1672666803.6300001</v>
          </cell>
          <cell r="T601">
            <v>1672666803.6300001</v>
          </cell>
        </row>
        <row r="602">
          <cell r="A602">
            <v>140030300</v>
          </cell>
          <cell r="B602" t="str">
            <v>TREASURY BILLS (AMORTISED COST)</v>
          </cell>
          <cell r="C602">
            <v>690460199000</v>
          </cell>
          <cell r="D602">
            <v>0</v>
          </cell>
          <cell r="E602">
            <v>690460199000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690460199000</v>
          </cell>
          <cell r="T602">
            <v>690460199000</v>
          </cell>
        </row>
        <row r="603">
          <cell r="A603">
            <v>140030301</v>
          </cell>
          <cell r="B603" t="str">
            <v>COMMERCIAL PAPERS (AMORTISED)</v>
          </cell>
          <cell r="C603">
            <v>2500000000</v>
          </cell>
          <cell r="D603">
            <v>0</v>
          </cell>
          <cell r="E603">
            <v>2500000000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2500000000</v>
          </cell>
          <cell r="T603">
            <v>2500000000</v>
          </cell>
        </row>
        <row r="604">
          <cell r="A604">
            <v>140030400</v>
          </cell>
          <cell r="B604" t="str">
            <v>INTEREST RECEIVABLE INTERBANK PL</v>
          </cell>
          <cell r="C604">
            <v>0</v>
          </cell>
          <cell r="D604">
            <v>0</v>
          </cell>
          <cell r="E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</row>
        <row r="605">
          <cell r="A605">
            <v>140030503</v>
          </cell>
          <cell r="B605" t="str">
            <v>AMCON BONDSá (AMORTISED COST)</v>
          </cell>
          <cell r="C605">
            <v>0</v>
          </cell>
          <cell r="D605">
            <v>0</v>
          </cell>
          <cell r="E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</row>
        <row r="606">
          <cell r="A606">
            <v>140030600</v>
          </cell>
          <cell r="B606" t="str">
            <v>MONEY MARKET ASSET CONVERSION FC</v>
          </cell>
          <cell r="C606">
            <v>0</v>
          </cell>
          <cell r="D606">
            <v>0</v>
          </cell>
          <cell r="E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</row>
        <row r="607">
          <cell r="A607">
            <v>140030700</v>
          </cell>
          <cell r="B607" t="str">
            <v>INT RECV EURO BOND HTM</v>
          </cell>
          <cell r="C607">
            <v>0</v>
          </cell>
          <cell r="D607">
            <v>0</v>
          </cell>
          <cell r="E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</row>
        <row r="608">
          <cell r="A608">
            <v>140030900</v>
          </cell>
          <cell r="B608" t="str">
            <v>AMORTISED COST VALUE FGN BONDS-M</v>
          </cell>
          <cell r="C608">
            <v>718574639.26999998</v>
          </cell>
          <cell r="D608">
            <v>0</v>
          </cell>
          <cell r="E608">
            <v>718574639.26999998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718574639.26999998</v>
          </cell>
          <cell r="T608">
            <v>718574639.26999998</v>
          </cell>
        </row>
        <row r="609">
          <cell r="A609">
            <v>140031000</v>
          </cell>
          <cell r="B609" t="str">
            <v>AMORTISED COST VALUE CORP BONDS-</v>
          </cell>
          <cell r="C609">
            <v>1327057627</v>
          </cell>
          <cell r="D609">
            <v>0</v>
          </cell>
          <cell r="E609">
            <v>1327057627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1327057627</v>
          </cell>
          <cell r="T609">
            <v>1327057627</v>
          </cell>
        </row>
        <row r="610">
          <cell r="A610">
            <v>140031100</v>
          </cell>
          <cell r="B610" t="str">
            <v>AMORTISED COST VALUE STATE GOVT-</v>
          </cell>
          <cell r="C610">
            <v>0</v>
          </cell>
          <cell r="D610">
            <v>0</v>
          </cell>
          <cell r="E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</row>
        <row r="611">
          <cell r="A611">
            <v>140031150</v>
          </cell>
          <cell r="B611" t="str">
            <v>AMORTISED COST VALUE EURO BONDS-</v>
          </cell>
          <cell r="C611">
            <v>0</v>
          </cell>
          <cell r="D611">
            <v>54064860.25</v>
          </cell>
          <cell r="E611">
            <v>54064860.25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54064860.25</v>
          </cell>
          <cell r="T611">
            <v>54064860.25</v>
          </cell>
        </row>
        <row r="612">
          <cell r="A612">
            <v>140031200</v>
          </cell>
          <cell r="B612" t="str">
            <v>AMORTISED COST VALUE T.BILLS-MEA</v>
          </cell>
          <cell r="C612">
            <v>1773241460.8499999</v>
          </cell>
          <cell r="D612">
            <v>0</v>
          </cell>
          <cell r="E612">
            <v>1773241460.8499999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1773241460.8499999</v>
          </cell>
          <cell r="T612">
            <v>1773241460.8499999</v>
          </cell>
        </row>
        <row r="613">
          <cell r="A613">
            <v>140031210</v>
          </cell>
          <cell r="B613" t="str">
            <v>AMORTISED COST VALUE PROMISORY N</v>
          </cell>
          <cell r="C613">
            <v>86758264.170000002</v>
          </cell>
          <cell r="D613">
            <v>0</v>
          </cell>
          <cell r="E613">
            <v>86758264.170000002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86758264.170000002</v>
          </cell>
          <cell r="T613">
            <v>86758264.170000002</v>
          </cell>
        </row>
        <row r="614">
          <cell r="A614">
            <v>140031220</v>
          </cell>
          <cell r="B614" t="str">
            <v>AMORTISED COST VALUE COMMERCIAL</v>
          </cell>
          <cell r="C614">
            <v>0</v>
          </cell>
          <cell r="D614">
            <v>0</v>
          </cell>
          <cell r="E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</row>
        <row r="615">
          <cell r="A615">
            <v>140031300</v>
          </cell>
          <cell r="B615" t="str">
            <v>AMORTISED COST ASSET-FOREIGN BOR</v>
          </cell>
          <cell r="C615">
            <v>0</v>
          </cell>
          <cell r="D615">
            <v>0</v>
          </cell>
          <cell r="E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</row>
        <row r="616">
          <cell r="A616">
            <v>140031301</v>
          </cell>
          <cell r="B616" t="str">
            <v>AMORTISED COST ASSET-LOCAL BORRO</v>
          </cell>
          <cell r="C616">
            <v>0</v>
          </cell>
          <cell r="D616">
            <v>0</v>
          </cell>
          <cell r="E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</row>
        <row r="617">
          <cell r="A617">
            <v>140031400</v>
          </cell>
          <cell r="B617" t="str">
            <v>AGSMIES INVESTMENT</v>
          </cell>
          <cell r="C617">
            <v>4760617580.3900003</v>
          </cell>
          <cell r="D617">
            <v>0</v>
          </cell>
          <cell r="E617">
            <v>4760617580.3900003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4760617580.3900003</v>
          </cell>
          <cell r="T617">
            <v>4760617580.3900003</v>
          </cell>
        </row>
        <row r="618">
          <cell r="A618">
            <v>140040100</v>
          </cell>
          <cell r="B618" t="str">
            <v>INTEREST RECEIVABLE ON AMCON BON</v>
          </cell>
          <cell r="C618">
            <v>0</v>
          </cell>
          <cell r="D618">
            <v>0</v>
          </cell>
          <cell r="E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</row>
        <row r="619">
          <cell r="A619">
            <v>140040201</v>
          </cell>
          <cell r="B619" t="str">
            <v>CORPORATE BOND (AMORTISED COST)</v>
          </cell>
          <cell r="C619">
            <v>4056083866.46</v>
          </cell>
          <cell r="D619">
            <v>0</v>
          </cell>
          <cell r="E619">
            <v>4056083866.46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4056083866.46</v>
          </cell>
          <cell r="T619">
            <v>4056083866.46</v>
          </cell>
        </row>
        <row r="620">
          <cell r="A620">
            <v>140040202</v>
          </cell>
          <cell r="B620" t="str">
            <v>INT RECV ON CORPORATE BOND (AMOR</v>
          </cell>
          <cell r="C620">
            <v>245247756.74000001</v>
          </cell>
          <cell r="D620">
            <v>0</v>
          </cell>
          <cell r="E620">
            <v>245247756.74000001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245247756.74000001</v>
          </cell>
          <cell r="T620">
            <v>245247756.74000001</v>
          </cell>
        </row>
        <row r="621">
          <cell r="A621">
            <v>140040204</v>
          </cell>
          <cell r="B621" t="str">
            <v>PLEDGED FGN BONDS A/C (AMORTISED</v>
          </cell>
          <cell r="C621">
            <v>48375798000</v>
          </cell>
          <cell r="D621">
            <v>0</v>
          </cell>
          <cell r="E621">
            <v>48375798000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48375798000</v>
          </cell>
          <cell r="T621">
            <v>48375798000</v>
          </cell>
        </row>
        <row r="622">
          <cell r="A622">
            <v>140040205</v>
          </cell>
          <cell r="B622" t="str">
            <v>PLEDGED EURO BONDS A/C (AMORTISE</v>
          </cell>
          <cell r="C622">
            <v>0</v>
          </cell>
          <cell r="D622">
            <v>0</v>
          </cell>
          <cell r="E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</row>
        <row r="623">
          <cell r="A623">
            <v>140040206</v>
          </cell>
          <cell r="B623" t="str">
            <v>PLEDGED TREASURY BLLS (FVTPL)</v>
          </cell>
          <cell r="C623">
            <v>0</v>
          </cell>
          <cell r="D623">
            <v>0</v>
          </cell>
          <cell r="E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</row>
        <row r="624">
          <cell r="A624">
            <v>140040301</v>
          </cell>
          <cell r="B624" t="str">
            <v>STATE GOVERNMENT BONDS (AMORTISE</v>
          </cell>
          <cell r="C624">
            <v>16790504172.379999</v>
          </cell>
          <cell r="D624">
            <v>0</v>
          </cell>
          <cell r="E624">
            <v>16790504172.379999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16790504172.379999</v>
          </cell>
          <cell r="T624">
            <v>16790504172.379999</v>
          </cell>
        </row>
        <row r="625">
          <cell r="A625">
            <v>140040302</v>
          </cell>
          <cell r="B625" t="str">
            <v>INT. RECV. STATE GOVERNMENT BOND</v>
          </cell>
          <cell r="C625">
            <v>463125987.13</v>
          </cell>
          <cell r="D625">
            <v>0</v>
          </cell>
          <cell r="E625">
            <v>463125987.13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463125987.13</v>
          </cell>
          <cell r="T625">
            <v>463125987.13</v>
          </cell>
        </row>
        <row r="626">
          <cell r="A626">
            <v>140040303</v>
          </cell>
          <cell r="B626" t="str">
            <v>PLEDGED STATE GOVERNMENT BONDS (</v>
          </cell>
          <cell r="C626">
            <v>0</v>
          </cell>
          <cell r="D626">
            <v>0</v>
          </cell>
          <cell r="E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</row>
        <row r="627">
          <cell r="A627">
            <v>140040401</v>
          </cell>
          <cell r="B627" t="str">
            <v>QUOTED EQUITY INVESTMENTS</v>
          </cell>
          <cell r="C627">
            <v>106499999.09</v>
          </cell>
          <cell r="D627">
            <v>0</v>
          </cell>
          <cell r="E627">
            <v>106499999.09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106499999.09</v>
          </cell>
          <cell r="T627">
            <v>106499999.09</v>
          </cell>
        </row>
        <row r="628">
          <cell r="A628">
            <v>140040402</v>
          </cell>
          <cell r="B628" t="str">
            <v>UNQUOTED EQUITY INVESTMENTS</v>
          </cell>
          <cell r="C628">
            <v>24480864889</v>
          </cell>
          <cell r="D628">
            <v>0</v>
          </cell>
          <cell r="E628">
            <v>24480864889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24480864889</v>
          </cell>
          <cell r="T628">
            <v>24480864889</v>
          </cell>
        </row>
        <row r="629">
          <cell r="A629">
            <v>140040403</v>
          </cell>
          <cell r="B629" t="str">
            <v>HELD FOR SALE ASSETS</v>
          </cell>
          <cell r="C629">
            <v>6087452904.6599998</v>
          </cell>
          <cell r="D629">
            <v>0</v>
          </cell>
          <cell r="E629">
            <v>6087452904.6599998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6087452904.6599998</v>
          </cell>
          <cell r="T629">
            <v>6087452904.6599998</v>
          </cell>
        </row>
        <row r="630">
          <cell r="A630">
            <v>140040404</v>
          </cell>
          <cell r="B630" t="str">
            <v>INVESTMENTS IN SMES</v>
          </cell>
          <cell r="C630">
            <v>0</v>
          </cell>
          <cell r="D630">
            <v>0</v>
          </cell>
          <cell r="E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</row>
        <row r="631">
          <cell r="A631">
            <v>140040405</v>
          </cell>
          <cell r="B631" t="str">
            <v>UNQUOTED SUBSIDIARIES</v>
          </cell>
          <cell r="C631">
            <v>499877444.69999999</v>
          </cell>
          <cell r="D631">
            <v>0</v>
          </cell>
          <cell r="E631">
            <v>499877444.69999999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499877444.69999999</v>
          </cell>
          <cell r="T631">
            <v>499877444.69999999</v>
          </cell>
        </row>
        <row r="632">
          <cell r="A632">
            <v>140040406</v>
          </cell>
          <cell r="B632" t="str">
            <v>UNQUOTED ASSOCIATED COMPANIES</v>
          </cell>
          <cell r="C632">
            <v>49000000</v>
          </cell>
          <cell r="D632">
            <v>0</v>
          </cell>
          <cell r="E632">
            <v>49000000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49000000</v>
          </cell>
          <cell r="T632">
            <v>49000000</v>
          </cell>
        </row>
        <row r="633">
          <cell r="A633">
            <v>140040501</v>
          </cell>
          <cell r="B633" t="str">
            <v>INT RECV FGN BONDá (AMORTISED CO</v>
          </cell>
          <cell r="C633">
            <v>5633720732.6000004</v>
          </cell>
          <cell r="D633">
            <v>19930.87</v>
          </cell>
          <cell r="E633">
            <v>5633740663.4700003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5633740663.4700003</v>
          </cell>
          <cell r="T633">
            <v>5633740663.4700003</v>
          </cell>
        </row>
        <row r="634">
          <cell r="A634">
            <v>140040502</v>
          </cell>
          <cell r="B634" t="str">
            <v>INT RECV EURO BONDá (AMORTISED C</v>
          </cell>
          <cell r="C634">
            <v>641095.14</v>
          </cell>
          <cell r="D634">
            <v>345585160.47000003</v>
          </cell>
          <cell r="E634">
            <v>346226255.61000001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913688793.528</v>
          </cell>
          <cell r="P634">
            <v>0</v>
          </cell>
          <cell r="Q634">
            <v>0</v>
          </cell>
          <cell r="R634">
            <v>0</v>
          </cell>
          <cell r="S634">
            <v>1259915049.138</v>
          </cell>
          <cell r="T634">
            <v>1259915049.138</v>
          </cell>
        </row>
        <row r="635">
          <cell r="A635">
            <v>140040504</v>
          </cell>
          <cell r="B635" t="str">
            <v>INT RECV STATE BONDá (AMORTISED</v>
          </cell>
          <cell r="C635">
            <v>0</v>
          </cell>
          <cell r="D635">
            <v>0</v>
          </cell>
          <cell r="E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</row>
        <row r="636">
          <cell r="A636">
            <v>140040505</v>
          </cell>
          <cell r="B636" t="str">
            <v>INT RECV FGN BONDá (FVTOCI)</v>
          </cell>
          <cell r="C636">
            <v>0</v>
          </cell>
          <cell r="D636">
            <v>0</v>
          </cell>
          <cell r="E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</row>
        <row r="637">
          <cell r="A637">
            <v>140040509</v>
          </cell>
          <cell r="B637" t="str">
            <v>INT RECV FGN BONDá (FVTPL)</v>
          </cell>
          <cell r="C637">
            <v>550024249.95000005</v>
          </cell>
          <cell r="D637">
            <v>0</v>
          </cell>
          <cell r="E637">
            <v>550024249.95000005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550024249.95000005</v>
          </cell>
          <cell r="T637">
            <v>550024249.95000005</v>
          </cell>
        </row>
        <row r="638">
          <cell r="A638">
            <v>140040510</v>
          </cell>
          <cell r="B638" t="str">
            <v>INT RECV EURO BONDá (FVTPL)</v>
          </cell>
          <cell r="C638">
            <v>0</v>
          </cell>
          <cell r="D638">
            <v>392615560.19</v>
          </cell>
          <cell r="E638">
            <v>392615560.19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392615560.19</v>
          </cell>
          <cell r="T638">
            <v>392615560.19</v>
          </cell>
        </row>
        <row r="639">
          <cell r="A639" t="str">
            <v>_x0012_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</row>
        <row r="640"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</row>
        <row r="641">
          <cell r="C641" t="str">
            <v>Polaris Bank Limited, N</v>
          </cell>
          <cell r="D641" t="str">
            <v>igeria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</row>
        <row r="642">
          <cell r="C642" t="str">
            <v>** Consolidated Balance Shee</v>
          </cell>
          <cell r="D642" t="str">
            <v>t CBN **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</row>
        <row r="643"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</row>
        <row r="644">
          <cell r="C644" t="str">
            <v>As on :     31-OCT-2025</v>
          </cell>
          <cell r="E644" t="str">
            <v>Page   :   12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</row>
        <row r="645"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</row>
        <row r="646">
          <cell r="A646" t="str">
            <v>User Id :</v>
          </cell>
          <cell r="B646" t="str">
            <v>SYSTEM</v>
          </cell>
          <cell r="C646" t="str">
            <v>Date 1 Time :     01-NOV-2025</v>
          </cell>
          <cell r="D646">
            <v>0.21625000000000003</v>
          </cell>
          <cell r="E646" t="str">
            <v>Module :   GL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</row>
        <row r="647">
          <cell r="A647" t="str">
            <v>----------</v>
          </cell>
          <cell r="B647" t="str">
            <v>----------------------------------------</v>
          </cell>
          <cell r="C647" t="str">
            <v>------------------------------</v>
          </cell>
          <cell r="D647" t="str">
            <v>------------------------------</v>
          </cell>
          <cell r="E647" t="str">
            <v>----------------------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</row>
        <row r="648">
          <cell r="A648" t="str">
            <v>GL Code</v>
          </cell>
          <cell r="B648" t="str">
            <v>Description</v>
          </cell>
          <cell r="C648" t="str">
            <v>LCY Amount</v>
          </cell>
          <cell r="D648" t="str">
            <v>FCY Amount (Lcy Eq)</v>
          </cell>
          <cell r="E648" t="str">
            <v>Total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</row>
        <row r="649"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</row>
        <row r="650">
          <cell r="A650" t="str">
            <v>----------</v>
          </cell>
          <cell r="B650" t="str">
            <v>----------------------------------------</v>
          </cell>
          <cell r="C650" t="str">
            <v>------------------------------</v>
          </cell>
          <cell r="D650" t="str">
            <v>------------------------------</v>
          </cell>
          <cell r="E650" t="str">
            <v>----------------------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</row>
        <row r="651">
          <cell r="A651" t="str">
            <v>Asset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</row>
        <row r="652"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</row>
        <row r="653">
          <cell r="A653">
            <v>140040511</v>
          </cell>
          <cell r="B653" t="str">
            <v>INT RECV CORP BONDá (FVTPL)</v>
          </cell>
          <cell r="C653">
            <v>0</v>
          </cell>
          <cell r="D653">
            <v>0</v>
          </cell>
          <cell r="E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</row>
        <row r="654">
          <cell r="A654">
            <v>140040513</v>
          </cell>
          <cell r="B654" t="str">
            <v>INT. RECV. CBN REAL SECTOR SUPPO</v>
          </cell>
          <cell r="C654">
            <v>36986301.369999997</v>
          </cell>
          <cell r="D654">
            <v>0</v>
          </cell>
          <cell r="E654">
            <v>36986301.369999997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36986301.369999997</v>
          </cell>
          <cell r="T654">
            <v>36986301.369999997</v>
          </cell>
        </row>
        <row r="655">
          <cell r="A655">
            <v>150010001</v>
          </cell>
          <cell r="B655" t="str">
            <v>PREPAID EXPS   NDIC PREMIUM</v>
          </cell>
          <cell r="C655">
            <v>1686024517.52</v>
          </cell>
          <cell r="D655">
            <v>0</v>
          </cell>
          <cell r="E655">
            <v>1686024517.52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1686024517.52</v>
          </cell>
          <cell r="T655">
            <v>1686024517.52</v>
          </cell>
        </row>
        <row r="656">
          <cell r="A656">
            <v>150010002</v>
          </cell>
          <cell r="B656" t="str">
            <v>PREPAID EXPS   OTHER INSURANCE</v>
          </cell>
          <cell r="C656">
            <v>23352698.550000001</v>
          </cell>
          <cell r="D656">
            <v>0</v>
          </cell>
          <cell r="E656">
            <v>23352698.550000001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23352698.550000001</v>
          </cell>
          <cell r="T656">
            <v>23352698.550000001</v>
          </cell>
        </row>
        <row r="657">
          <cell r="A657">
            <v>150010003</v>
          </cell>
          <cell r="B657" t="str">
            <v>PREPAID EXPS   RATES</v>
          </cell>
          <cell r="C657">
            <v>110468934.98999999</v>
          </cell>
          <cell r="D657">
            <v>0</v>
          </cell>
          <cell r="E657">
            <v>110468934.98999999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110468934.98999999</v>
          </cell>
          <cell r="T657">
            <v>110468934.98999999</v>
          </cell>
        </row>
        <row r="658">
          <cell r="A658">
            <v>150010004</v>
          </cell>
          <cell r="B658" t="str">
            <v>PREPAID EXPS   LEASED BUILDING</v>
          </cell>
          <cell r="C658">
            <v>0</v>
          </cell>
          <cell r="D658">
            <v>0</v>
          </cell>
          <cell r="E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</row>
        <row r="659">
          <cell r="A659">
            <v>150010006</v>
          </cell>
          <cell r="B659" t="str">
            <v>PREPAID EXPS   SERV. CONTRACTS</v>
          </cell>
          <cell r="C659">
            <v>940639.59</v>
          </cell>
          <cell r="D659">
            <v>0</v>
          </cell>
          <cell r="E659">
            <v>940639.59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940639.59</v>
          </cell>
          <cell r="T659">
            <v>940639.59</v>
          </cell>
        </row>
        <row r="660">
          <cell r="A660">
            <v>150010007</v>
          </cell>
          <cell r="B660" t="str">
            <v>PREPAID-SERV. CONTRACTS (IT)</v>
          </cell>
          <cell r="C660">
            <v>5217731338.5500002</v>
          </cell>
          <cell r="D660">
            <v>0</v>
          </cell>
          <cell r="E660">
            <v>5217731338.5500002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5217731338.5500002</v>
          </cell>
          <cell r="T660">
            <v>5217731338.5500002</v>
          </cell>
        </row>
        <row r="661">
          <cell r="A661">
            <v>150010008</v>
          </cell>
          <cell r="B661" t="str">
            <v>PREPAID EXPS- AMCON SINKING FUND</v>
          </cell>
          <cell r="C661">
            <v>3014406145.54</v>
          </cell>
          <cell r="D661">
            <v>0</v>
          </cell>
          <cell r="E661">
            <v>3014406145.54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3014406145.54</v>
          </cell>
          <cell r="T661">
            <v>3014406145.54</v>
          </cell>
        </row>
        <row r="662">
          <cell r="A662">
            <v>150010009</v>
          </cell>
          <cell r="B662" t="str">
            <v>PREPAID EXPS   TRAINING</v>
          </cell>
          <cell r="C662">
            <v>0</v>
          </cell>
          <cell r="D662">
            <v>0</v>
          </cell>
          <cell r="E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</row>
        <row r="663">
          <cell r="A663">
            <v>150010010</v>
          </cell>
          <cell r="B663" t="str">
            <v>PREPAID EXPS PROFESSIONAL FEES</v>
          </cell>
          <cell r="C663">
            <v>0</v>
          </cell>
          <cell r="D663">
            <v>0</v>
          </cell>
          <cell r="E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</row>
        <row r="664">
          <cell r="A664">
            <v>150010011</v>
          </cell>
          <cell r="B664" t="str">
            <v>PREPAID EXP MAINTENANCE &amp; REPAIR</v>
          </cell>
          <cell r="C664">
            <v>47110671.659999996</v>
          </cell>
          <cell r="D664">
            <v>0</v>
          </cell>
          <cell r="E664">
            <v>47110671.659999996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47110671.659999996</v>
          </cell>
          <cell r="T664">
            <v>47110671.659999996</v>
          </cell>
        </row>
        <row r="665">
          <cell r="A665">
            <v>150010012</v>
          </cell>
          <cell r="B665" t="str">
            <v>PREPAID EXPS   ADVERTISEMENT</v>
          </cell>
          <cell r="C665">
            <v>10856972.16</v>
          </cell>
          <cell r="D665">
            <v>0</v>
          </cell>
          <cell r="E665">
            <v>10856972.16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10856972.16</v>
          </cell>
          <cell r="T665">
            <v>10856972.16</v>
          </cell>
        </row>
        <row r="666">
          <cell r="A666">
            <v>150010013</v>
          </cell>
          <cell r="B666" t="str">
            <v>OTHER PREPAID EXPS</v>
          </cell>
          <cell r="C666">
            <v>103344858.98999999</v>
          </cell>
          <cell r="D666">
            <v>0</v>
          </cell>
          <cell r="E666">
            <v>103344858.98999999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103344858.98999999</v>
          </cell>
          <cell r="T666">
            <v>103344858.98999999</v>
          </cell>
        </row>
        <row r="667">
          <cell r="A667">
            <v>150010014</v>
          </cell>
          <cell r="B667" t="str">
            <v>PREPAID CBN LEVY- RESOLUTION FUN</v>
          </cell>
          <cell r="C667">
            <v>0</v>
          </cell>
          <cell r="D667">
            <v>0</v>
          </cell>
          <cell r="E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</row>
        <row r="668">
          <cell r="A668">
            <v>150010015</v>
          </cell>
          <cell r="B668" t="str">
            <v>PREPAID EXP-SMS PREPAID COST</v>
          </cell>
          <cell r="C668">
            <v>0</v>
          </cell>
          <cell r="D668">
            <v>0</v>
          </cell>
          <cell r="E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</row>
        <row r="669">
          <cell r="A669">
            <v>150010016</v>
          </cell>
          <cell r="B669" t="str">
            <v>PREPAID EXP. TRADE GROUP MEMB.</v>
          </cell>
          <cell r="C669">
            <v>112852662.98</v>
          </cell>
          <cell r="D669">
            <v>0</v>
          </cell>
          <cell r="E669">
            <v>112852662.98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112852662.98</v>
          </cell>
          <cell r="T669">
            <v>112852662.98</v>
          </cell>
        </row>
        <row r="670">
          <cell r="A670">
            <v>150010017</v>
          </cell>
          <cell r="B670" t="str">
            <v>PREPAID EXP. TELEPHONE</v>
          </cell>
          <cell r="C670">
            <v>0</v>
          </cell>
          <cell r="D670">
            <v>0</v>
          </cell>
          <cell r="E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</row>
        <row r="671">
          <cell r="A671">
            <v>150010018</v>
          </cell>
          <cell r="B671" t="str">
            <v>CASH ADVANCE- FUEL DEPOSIT</v>
          </cell>
          <cell r="C671">
            <v>10900000</v>
          </cell>
          <cell r="D671">
            <v>0</v>
          </cell>
          <cell r="E671">
            <v>10900000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10900000</v>
          </cell>
          <cell r="T671">
            <v>10900000</v>
          </cell>
        </row>
        <row r="672">
          <cell r="A672">
            <v>150010019</v>
          </cell>
          <cell r="B672" t="str">
            <v>PREPAID OFFICE RENOVATION</v>
          </cell>
          <cell r="C672">
            <v>0</v>
          </cell>
          <cell r="D672">
            <v>0</v>
          </cell>
          <cell r="E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</row>
        <row r="673">
          <cell r="A673">
            <v>150010020</v>
          </cell>
          <cell r="B673" t="str">
            <v>PREPAID INT ON POLARIS TREASURY</v>
          </cell>
          <cell r="C673">
            <v>695448.39</v>
          </cell>
          <cell r="D673">
            <v>0</v>
          </cell>
          <cell r="E673">
            <v>695448.39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695448.39</v>
          </cell>
          <cell r="T673">
            <v>695448.39</v>
          </cell>
        </row>
        <row r="674">
          <cell r="A674">
            <v>150010021</v>
          </cell>
          <cell r="B674" t="str">
            <v>PREPAID  EXPS   AIRTICKET</v>
          </cell>
          <cell r="C674">
            <v>9954122</v>
          </cell>
          <cell r="D674">
            <v>0</v>
          </cell>
          <cell r="E674">
            <v>9954122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9954122</v>
          </cell>
          <cell r="T674">
            <v>9954122</v>
          </cell>
        </row>
        <row r="675">
          <cell r="A675">
            <v>150010022</v>
          </cell>
          <cell r="B675" t="str">
            <v>PREPAID  STAFF UPFRONT</v>
          </cell>
          <cell r="C675">
            <v>974870159.82000005</v>
          </cell>
          <cell r="D675">
            <v>0</v>
          </cell>
          <cell r="E675">
            <v>974870159.82000005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974870159.82000005</v>
          </cell>
          <cell r="T675">
            <v>974870159.82000005</v>
          </cell>
        </row>
        <row r="676">
          <cell r="A676">
            <v>150010023</v>
          </cell>
          <cell r="B676" t="str">
            <v>PREPAID STAFF COST OF PASSAGE</v>
          </cell>
          <cell r="C676">
            <v>0</v>
          </cell>
          <cell r="D676">
            <v>0</v>
          </cell>
          <cell r="E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</row>
        <row r="677">
          <cell r="A677">
            <v>150010024</v>
          </cell>
          <cell r="B677" t="str">
            <v>ADVANCE PAYMENTS   GENERAL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</row>
        <row r="678">
          <cell r="A678">
            <v>150010025</v>
          </cell>
          <cell r="B678" t="str">
            <v>ADVANCE PAYMENTS -LEASES</v>
          </cell>
          <cell r="C678">
            <v>0</v>
          </cell>
          <cell r="D678">
            <v>0</v>
          </cell>
          <cell r="E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</row>
        <row r="679">
          <cell r="A679">
            <v>150010026</v>
          </cell>
          <cell r="B679" t="str">
            <v>PREPAID UPFRONT FEES</v>
          </cell>
          <cell r="C679">
            <v>0</v>
          </cell>
          <cell r="D679">
            <v>0</v>
          </cell>
          <cell r="E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</row>
        <row r="680">
          <cell r="A680">
            <v>150010027</v>
          </cell>
          <cell r="B680" t="str">
            <v>PREPAID EMPLOYEE BENEFIT (BMR) G</v>
          </cell>
          <cell r="C680">
            <v>71298560.950000003</v>
          </cell>
          <cell r="D680">
            <v>0</v>
          </cell>
          <cell r="E680">
            <v>71298560.950000003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71298560.950000003</v>
          </cell>
          <cell r="T680">
            <v>71298560.950000003</v>
          </cell>
        </row>
        <row r="681">
          <cell r="A681">
            <v>150010028</v>
          </cell>
          <cell r="B681" t="str">
            <v>FGN BONDS PREMIUM PAIDá (AMORTIS</v>
          </cell>
          <cell r="C681">
            <v>474377308.5</v>
          </cell>
          <cell r="D681">
            <v>0</v>
          </cell>
          <cell r="E681">
            <v>474377308.5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474377308.5</v>
          </cell>
          <cell r="T681">
            <v>474377308.5</v>
          </cell>
        </row>
        <row r="682">
          <cell r="A682">
            <v>150010029</v>
          </cell>
          <cell r="B682" t="str">
            <v>FGN BONDS PREMIUM PAIDá (FVTPL)</v>
          </cell>
          <cell r="C682">
            <v>0</v>
          </cell>
          <cell r="D682">
            <v>0</v>
          </cell>
          <cell r="E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</row>
        <row r="683">
          <cell r="A683">
            <v>150010030</v>
          </cell>
          <cell r="B683" t="str">
            <v>FGN BONDS PREMIUM PAIDá (FVTOCI)</v>
          </cell>
          <cell r="C683">
            <v>0</v>
          </cell>
          <cell r="D683">
            <v>0</v>
          </cell>
          <cell r="E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</row>
        <row r="684">
          <cell r="A684">
            <v>150010031</v>
          </cell>
          <cell r="B684" t="str">
            <v>CORP BONDS PREMIUM PAIDá (AMORTI</v>
          </cell>
          <cell r="C684">
            <v>3096385.66</v>
          </cell>
          <cell r="D684">
            <v>0</v>
          </cell>
          <cell r="E684">
            <v>3096385.66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3096385.66</v>
          </cell>
          <cell r="T684">
            <v>3096385.66</v>
          </cell>
        </row>
        <row r="685">
          <cell r="A685">
            <v>150010034</v>
          </cell>
          <cell r="B685" t="str">
            <v>EURO BONDS PREMIUM PAIDá (AMORTI</v>
          </cell>
          <cell r="C685">
            <v>0</v>
          </cell>
          <cell r="D685">
            <v>0</v>
          </cell>
          <cell r="E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</row>
        <row r="686">
          <cell r="A686">
            <v>150010035</v>
          </cell>
          <cell r="B686" t="str">
            <v>EURO BONDS PREMIUM PAIDá (FVTPL)</v>
          </cell>
          <cell r="C686">
            <v>0</v>
          </cell>
          <cell r="D686">
            <v>0</v>
          </cell>
          <cell r="E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</row>
        <row r="687">
          <cell r="A687">
            <v>150010037</v>
          </cell>
          <cell r="B687" t="str">
            <v>STATE GOVT BONDS PREMIUM PAIDá (</v>
          </cell>
          <cell r="C687">
            <v>4574670.2</v>
          </cell>
          <cell r="D687">
            <v>0</v>
          </cell>
          <cell r="E687">
            <v>4574670.2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4574670.2</v>
          </cell>
          <cell r="T687">
            <v>4574670.2</v>
          </cell>
        </row>
        <row r="688">
          <cell r="A688">
            <v>150010039</v>
          </cell>
          <cell r="B688" t="str">
            <v>STATE GOVT BONDS PREMIUM PAIDá (</v>
          </cell>
          <cell r="C688">
            <v>0</v>
          </cell>
          <cell r="D688">
            <v>0</v>
          </cell>
          <cell r="E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</row>
        <row r="689">
          <cell r="A689">
            <v>150010040</v>
          </cell>
          <cell r="B689" t="str">
            <v>FGN BONDS INT PAID IN ADVá (AMOR</v>
          </cell>
          <cell r="C689">
            <v>0</v>
          </cell>
          <cell r="D689">
            <v>0</v>
          </cell>
          <cell r="E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</row>
        <row r="690">
          <cell r="A690">
            <v>150010050</v>
          </cell>
          <cell r="B690" t="str">
            <v>STATE GOVT BONDS INT PAID IN ADV</v>
          </cell>
          <cell r="C690">
            <v>0</v>
          </cell>
          <cell r="D690">
            <v>0</v>
          </cell>
          <cell r="E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</row>
        <row r="691">
          <cell r="A691">
            <v>150010052</v>
          </cell>
          <cell r="B691" t="str">
            <v>MBL - OTHER PREPAID EXPENSES</v>
          </cell>
          <cell r="C691">
            <v>0</v>
          </cell>
          <cell r="D691">
            <v>0</v>
          </cell>
          <cell r="E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</row>
        <row r="692">
          <cell r="A692">
            <v>150010053</v>
          </cell>
          <cell r="B692" t="str">
            <v>FGN BONDS PREMIUM  (AMORTISED CO</v>
          </cell>
          <cell r="C692">
            <v>2794053708.3499999</v>
          </cell>
          <cell r="D692">
            <v>0</v>
          </cell>
          <cell r="E692">
            <v>2794053708.3499999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2794053708.3499999</v>
          </cell>
          <cell r="T692">
            <v>2794053708.3499999</v>
          </cell>
        </row>
        <row r="693">
          <cell r="A693">
            <v>150010054</v>
          </cell>
          <cell r="B693" t="str">
            <v>FGN BONDS PREMIUM  (FVTPL)</v>
          </cell>
          <cell r="C693">
            <v>649165367.84000003</v>
          </cell>
          <cell r="D693">
            <v>0</v>
          </cell>
          <cell r="E693">
            <v>649165367.84000003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649165367.84000003</v>
          </cell>
          <cell r="T693">
            <v>649165367.84000003</v>
          </cell>
        </row>
        <row r="694">
          <cell r="A694">
            <v>150020001</v>
          </cell>
          <cell r="B694" t="str">
            <v>INVENTORY   CHEQUE LEAVES</v>
          </cell>
          <cell r="C694">
            <v>50611337.130000003</v>
          </cell>
          <cell r="D694">
            <v>0</v>
          </cell>
          <cell r="E694">
            <v>50611337.130000003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50611337.130000003</v>
          </cell>
          <cell r="T694">
            <v>50611337.130000003</v>
          </cell>
        </row>
        <row r="695">
          <cell r="A695">
            <v>150020002</v>
          </cell>
          <cell r="B695" t="str">
            <v>INVENTORY   FORM A &amp; FORM M</v>
          </cell>
          <cell r="C695">
            <v>687100</v>
          </cell>
          <cell r="D695">
            <v>0</v>
          </cell>
          <cell r="E695">
            <v>687100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687100</v>
          </cell>
          <cell r="T695">
            <v>687100</v>
          </cell>
        </row>
        <row r="696">
          <cell r="A696">
            <v>150020003</v>
          </cell>
          <cell r="B696" t="str">
            <v>NEW ACCOUNTS CARD STOCK</v>
          </cell>
          <cell r="C696">
            <v>127898548.72</v>
          </cell>
          <cell r="D696">
            <v>497130.5</v>
          </cell>
          <cell r="E696">
            <v>128395679.22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128395679.22</v>
          </cell>
          <cell r="T696">
            <v>128395679.22</v>
          </cell>
        </row>
        <row r="697">
          <cell r="A697" t="str">
            <v>_x0012_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</row>
        <row r="698"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</row>
        <row r="699">
          <cell r="C699" t="str">
            <v>Polaris Bank Limited, N</v>
          </cell>
          <cell r="D699" t="str">
            <v>igeria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</row>
        <row r="700">
          <cell r="C700" t="str">
            <v>** Consolidated Balance Shee</v>
          </cell>
          <cell r="D700" t="str">
            <v>t CBN **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</row>
        <row r="702">
          <cell r="C702" t="str">
            <v>As on :     31-OCT-2025</v>
          </cell>
          <cell r="E702" t="str">
            <v>Page   :   13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</row>
        <row r="704">
          <cell r="A704" t="str">
            <v>User Id :</v>
          </cell>
          <cell r="B704" t="str">
            <v>SYSTEM</v>
          </cell>
          <cell r="C704" t="str">
            <v>Date 1 Time :     01-NOV-2025</v>
          </cell>
          <cell r="D704">
            <v>0.21625000000000003</v>
          </cell>
          <cell r="E704" t="str">
            <v>Module :   GL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</row>
        <row r="705">
          <cell r="A705" t="str">
            <v>----------</v>
          </cell>
          <cell r="B705" t="str">
            <v>----------------------------------------</v>
          </cell>
          <cell r="C705" t="str">
            <v>------------------------------</v>
          </cell>
          <cell r="D705" t="str">
            <v>------------------------------</v>
          </cell>
          <cell r="E705" t="str">
            <v>----------------------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</row>
        <row r="706">
          <cell r="A706" t="str">
            <v>GL Code</v>
          </cell>
          <cell r="B706" t="str">
            <v>Description</v>
          </cell>
          <cell r="C706" t="str">
            <v>LCY Amount</v>
          </cell>
          <cell r="D706" t="str">
            <v>FCY Amount (Lcy Eq)</v>
          </cell>
          <cell r="E706" t="str">
            <v>Total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</row>
        <row r="707"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</row>
        <row r="708">
          <cell r="A708" t="str">
            <v>----------</v>
          </cell>
          <cell r="B708" t="str">
            <v>----------------------------------------</v>
          </cell>
          <cell r="C708" t="str">
            <v>------------------------------</v>
          </cell>
          <cell r="D708" t="str">
            <v>------------------------------</v>
          </cell>
          <cell r="E708" t="str">
            <v>----------------------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</row>
        <row r="709">
          <cell r="A709" t="str">
            <v>Asset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</row>
        <row r="711">
          <cell r="A711">
            <v>150020004</v>
          </cell>
          <cell r="B711" t="str">
            <v>INVENTORY   COMPUTER CONSUMABLES</v>
          </cell>
          <cell r="C711">
            <v>6486468.8099999996</v>
          </cell>
          <cell r="D711">
            <v>0</v>
          </cell>
          <cell r="E711">
            <v>6486468.8099999996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6486468.8099999996</v>
          </cell>
          <cell r="T711">
            <v>6486468.8099999996</v>
          </cell>
        </row>
        <row r="712">
          <cell r="A712">
            <v>150020005</v>
          </cell>
          <cell r="B712" t="str">
            <v>INVENTORY   PRE PRINTED STATIONE</v>
          </cell>
          <cell r="C712">
            <v>3087393.43</v>
          </cell>
          <cell r="D712">
            <v>0</v>
          </cell>
          <cell r="E712">
            <v>3087393.43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3087393.43</v>
          </cell>
          <cell r="T712">
            <v>3087393.43</v>
          </cell>
        </row>
        <row r="713">
          <cell r="A713">
            <v>150020006</v>
          </cell>
          <cell r="B713" t="str">
            <v>INVENTORY   NON PRINTED STATIONE</v>
          </cell>
          <cell r="C713">
            <v>44000</v>
          </cell>
          <cell r="D713">
            <v>0</v>
          </cell>
          <cell r="E713">
            <v>44000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44000</v>
          </cell>
          <cell r="T713">
            <v>44000</v>
          </cell>
        </row>
        <row r="714">
          <cell r="A714">
            <v>150020007</v>
          </cell>
          <cell r="B714" t="str">
            <v>INVENTORY   MICR STATIONERY</v>
          </cell>
          <cell r="C714">
            <v>0</v>
          </cell>
          <cell r="D714">
            <v>0</v>
          </cell>
          <cell r="E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</row>
        <row r="715">
          <cell r="A715">
            <v>150020008</v>
          </cell>
          <cell r="B715" t="str">
            <v>INVENTORY VULTe VOUCHERS</v>
          </cell>
          <cell r="C715">
            <v>0</v>
          </cell>
          <cell r="D715">
            <v>0</v>
          </cell>
          <cell r="E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</row>
        <row r="716">
          <cell r="A716">
            <v>150020009</v>
          </cell>
          <cell r="B716" t="str">
            <v>INVENTORY SOFT TOKEN GL</v>
          </cell>
          <cell r="C716">
            <v>159657982.52000001</v>
          </cell>
          <cell r="D716">
            <v>0</v>
          </cell>
          <cell r="E716">
            <v>159657982.52000001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159657982.52000001</v>
          </cell>
          <cell r="T716">
            <v>159657982.52000001</v>
          </cell>
        </row>
        <row r="717">
          <cell r="A717">
            <v>150020010</v>
          </cell>
          <cell r="B717" t="str">
            <v>INVENTORY   OTHER STATIONERY</v>
          </cell>
          <cell r="C717">
            <v>14058799.27</v>
          </cell>
          <cell r="D717">
            <v>0</v>
          </cell>
          <cell r="E717">
            <v>14058799.27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14058799.27</v>
          </cell>
          <cell r="T717">
            <v>14058799.27</v>
          </cell>
        </row>
        <row r="718">
          <cell r="A718">
            <v>150020011</v>
          </cell>
          <cell r="B718" t="str">
            <v>INVENTORY MACHNRY &amp; EQUIPMT SPAR</v>
          </cell>
          <cell r="C718">
            <v>348519142.44</v>
          </cell>
          <cell r="D718">
            <v>0</v>
          </cell>
          <cell r="E718">
            <v>348519142.44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348519142.44</v>
          </cell>
          <cell r="T718">
            <v>348519142.44</v>
          </cell>
        </row>
        <row r="719">
          <cell r="A719">
            <v>150020012</v>
          </cell>
          <cell r="B719" t="str">
            <v>HOSPITAL PAYMENT CARD</v>
          </cell>
          <cell r="C719">
            <v>1082669</v>
          </cell>
          <cell r="D719">
            <v>0</v>
          </cell>
          <cell r="E719">
            <v>1082669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1082669</v>
          </cell>
          <cell r="T719">
            <v>1082669</v>
          </cell>
        </row>
        <row r="720">
          <cell r="A720">
            <v>150020013</v>
          </cell>
          <cell r="B720" t="str">
            <v>AFRI GO STOCK ACCOUNT</v>
          </cell>
          <cell r="C720">
            <v>0</v>
          </cell>
          <cell r="D720">
            <v>0</v>
          </cell>
          <cell r="E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</row>
        <row r="721">
          <cell r="A721">
            <v>150020014</v>
          </cell>
          <cell r="B721" t="str">
            <v>JAMB STOCK ACCOUNT</v>
          </cell>
          <cell r="C721">
            <v>0</v>
          </cell>
          <cell r="D721">
            <v>0</v>
          </cell>
          <cell r="E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</row>
        <row r="722">
          <cell r="A722">
            <v>150020015</v>
          </cell>
          <cell r="B722" t="str">
            <v>JAMB DIRECT ENTRY SCRATCH CARDS(</v>
          </cell>
          <cell r="C722">
            <v>0</v>
          </cell>
          <cell r="D722">
            <v>0</v>
          </cell>
          <cell r="E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</row>
        <row r="723">
          <cell r="A723">
            <v>150020016</v>
          </cell>
          <cell r="B723" t="str">
            <v>INVENTORY - OTHERS</v>
          </cell>
          <cell r="C723">
            <v>3352158.06</v>
          </cell>
          <cell r="D723">
            <v>0</v>
          </cell>
          <cell r="E723">
            <v>3352158.06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3352158.06</v>
          </cell>
          <cell r="T723">
            <v>3352158.06</v>
          </cell>
        </row>
        <row r="724">
          <cell r="A724">
            <v>150020017</v>
          </cell>
          <cell r="B724" t="str">
            <v>NECO EXAMS SCRATCH CARDS</v>
          </cell>
          <cell r="C724">
            <v>0</v>
          </cell>
          <cell r="D724">
            <v>0</v>
          </cell>
          <cell r="E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</row>
        <row r="725">
          <cell r="A725">
            <v>150020018</v>
          </cell>
          <cell r="B725" t="str">
            <v>INVENTORY  CORPORATE GIFTS</v>
          </cell>
          <cell r="C725">
            <v>6195816.9400000004</v>
          </cell>
          <cell r="D725">
            <v>0</v>
          </cell>
          <cell r="E725">
            <v>6195816.9400000004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6195816.9400000004</v>
          </cell>
          <cell r="T725">
            <v>6195816.9400000004</v>
          </cell>
        </row>
        <row r="726">
          <cell r="A726">
            <v>150020019</v>
          </cell>
          <cell r="B726" t="str">
            <v>INVENTORY MACHNRY &amp; EQUIPMT SPAR</v>
          </cell>
          <cell r="C726">
            <v>0</v>
          </cell>
          <cell r="D726">
            <v>0</v>
          </cell>
          <cell r="E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</row>
        <row r="727">
          <cell r="A727">
            <v>150020020</v>
          </cell>
          <cell r="B727" t="str">
            <v>INVENTORY-ATM MACHINES</v>
          </cell>
          <cell r="C727">
            <v>0</v>
          </cell>
          <cell r="D727">
            <v>0</v>
          </cell>
          <cell r="E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</row>
        <row r="728">
          <cell r="A728">
            <v>150020021</v>
          </cell>
          <cell r="B728" t="str">
            <v>INVENTORY-TOKEN STOCK ACCOUNT</v>
          </cell>
          <cell r="C728">
            <v>2384027</v>
          </cell>
          <cell r="D728">
            <v>0</v>
          </cell>
          <cell r="E728">
            <v>2384027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2384027</v>
          </cell>
          <cell r="T728">
            <v>2384027</v>
          </cell>
        </row>
        <row r="729">
          <cell r="A729">
            <v>150020022</v>
          </cell>
          <cell r="B729" t="str">
            <v>INVENTORY  - CARDS(SUSPENSE)</v>
          </cell>
          <cell r="C729">
            <v>0</v>
          </cell>
          <cell r="D729">
            <v>0</v>
          </cell>
          <cell r="E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</row>
        <row r="730">
          <cell r="A730">
            <v>150020023</v>
          </cell>
          <cell r="B730" t="str">
            <v>INVENTORY VISA CARD PRE-REGISTRA</v>
          </cell>
          <cell r="C730">
            <v>0</v>
          </cell>
          <cell r="D730">
            <v>0</v>
          </cell>
          <cell r="E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</row>
        <row r="731">
          <cell r="A731">
            <v>150020024</v>
          </cell>
          <cell r="B731" t="str">
            <v>INVENTORY- VISA GOLD USD DEBIT C</v>
          </cell>
          <cell r="C731">
            <v>-14.28</v>
          </cell>
          <cell r="D731">
            <v>5923715.8200000003</v>
          </cell>
          <cell r="E731">
            <v>5923701.54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5923701.54</v>
          </cell>
          <cell r="T731">
            <v>5923701.54</v>
          </cell>
        </row>
        <row r="732">
          <cell r="A732">
            <v>150020025</v>
          </cell>
          <cell r="B732" t="str">
            <v>INVENTORY NXP FORMS</v>
          </cell>
          <cell r="C732">
            <v>342150</v>
          </cell>
          <cell r="D732">
            <v>0</v>
          </cell>
          <cell r="E732">
            <v>342150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342150</v>
          </cell>
          <cell r="T732">
            <v>342150</v>
          </cell>
        </row>
        <row r="733">
          <cell r="A733">
            <v>150020026</v>
          </cell>
          <cell r="B733" t="str">
            <v>ADVANCE PAYMENT -INVENTORY ITEMS</v>
          </cell>
          <cell r="C733">
            <v>50594204.909999996</v>
          </cell>
          <cell r="D733">
            <v>0</v>
          </cell>
          <cell r="E733">
            <v>50594204.909999996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50594204.909999996</v>
          </cell>
          <cell r="T733">
            <v>50594204.909999996</v>
          </cell>
        </row>
        <row r="734">
          <cell r="A734">
            <v>150020027</v>
          </cell>
          <cell r="B734" t="str">
            <v>INVENTORY MASTER CARDS</v>
          </cell>
          <cell r="C734">
            <v>0</v>
          </cell>
          <cell r="D734">
            <v>0</v>
          </cell>
          <cell r="E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</row>
        <row r="735">
          <cell r="A735">
            <v>150020028</v>
          </cell>
          <cell r="B735" t="str">
            <v>POLARIS  FLITCASH CARD INVENTORY</v>
          </cell>
          <cell r="C735">
            <v>0</v>
          </cell>
          <cell r="D735">
            <v>0</v>
          </cell>
          <cell r="E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</row>
        <row r="736">
          <cell r="A736">
            <v>150020029</v>
          </cell>
          <cell r="B736" t="str">
            <v>INVENTORY POLARIS EXPLORER CARD</v>
          </cell>
          <cell r="C736">
            <v>39600</v>
          </cell>
          <cell r="D736">
            <v>0</v>
          </cell>
          <cell r="E736">
            <v>39600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39600</v>
          </cell>
          <cell r="T736">
            <v>39600</v>
          </cell>
        </row>
        <row r="737">
          <cell r="A737">
            <v>150020030</v>
          </cell>
          <cell r="B737" t="str">
            <v>INVENTORY VISA PREPAID INTL</v>
          </cell>
          <cell r="C737">
            <v>16633728.880000001</v>
          </cell>
          <cell r="D737">
            <v>-33902.49</v>
          </cell>
          <cell r="E737">
            <v>16599826.390000001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16599826.390000001</v>
          </cell>
          <cell r="T737">
            <v>16599826.390000001</v>
          </cell>
        </row>
        <row r="738">
          <cell r="A738">
            <v>150020031</v>
          </cell>
          <cell r="B738" t="str">
            <v>INVENTORY VISA CARD LOCAL</v>
          </cell>
          <cell r="C738">
            <v>240803527.93000001</v>
          </cell>
          <cell r="D738">
            <v>0</v>
          </cell>
          <cell r="E738">
            <v>240803527.93000001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240803527.93000001</v>
          </cell>
          <cell r="T738">
            <v>240803527.93000001</v>
          </cell>
        </row>
        <row r="739">
          <cell r="A739">
            <v>150020032</v>
          </cell>
          <cell r="B739" t="str">
            <v>POSTAGE STAMP STOCK GL</v>
          </cell>
          <cell r="C739">
            <v>655680.32999999996</v>
          </cell>
          <cell r="D739">
            <v>0</v>
          </cell>
          <cell r="E739">
            <v>655680.32999999996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655680.32999999996</v>
          </cell>
          <cell r="T739">
            <v>655680.32999999996</v>
          </cell>
        </row>
        <row r="740">
          <cell r="A740">
            <v>150020033</v>
          </cell>
          <cell r="B740" t="str">
            <v>INVENTORY  VERVE  CARD</v>
          </cell>
          <cell r="C740">
            <v>58036297.5</v>
          </cell>
          <cell r="D740">
            <v>0</v>
          </cell>
          <cell r="E740">
            <v>58036297.5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58036297.5</v>
          </cell>
          <cell r="T740">
            <v>58036297.5</v>
          </cell>
        </row>
        <row r="741">
          <cell r="A741">
            <v>150020035</v>
          </cell>
          <cell r="B741" t="str">
            <v>INVENTORY-POS</v>
          </cell>
          <cell r="C741">
            <v>42376500</v>
          </cell>
          <cell r="D741">
            <v>0</v>
          </cell>
          <cell r="E741">
            <v>42376500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42376500</v>
          </cell>
          <cell r="T741">
            <v>42376500</v>
          </cell>
        </row>
        <row r="742">
          <cell r="A742">
            <v>150020036</v>
          </cell>
          <cell r="B742" t="str">
            <v>INVENTORY - BUILDING MATERIALS</v>
          </cell>
          <cell r="C742">
            <v>0</v>
          </cell>
          <cell r="D742">
            <v>0</v>
          </cell>
          <cell r="E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</row>
        <row r="743">
          <cell r="A743">
            <v>150020037</v>
          </cell>
          <cell r="B743" t="str">
            <v>INVENTORY PRIORITY PASS CARD</v>
          </cell>
          <cell r="C743">
            <v>0</v>
          </cell>
          <cell r="D743">
            <v>0</v>
          </cell>
          <cell r="E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</row>
        <row r="744">
          <cell r="A744">
            <v>150020038</v>
          </cell>
          <cell r="B744" t="str">
            <v>INVENTORY-ATM CONSUMABLES</v>
          </cell>
          <cell r="C744">
            <v>-476615.77</v>
          </cell>
          <cell r="D744">
            <v>0</v>
          </cell>
          <cell r="E744">
            <v>-476615.77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476615.77</v>
          </cell>
          <cell r="T744">
            <v>476615.77</v>
          </cell>
        </row>
        <row r="745">
          <cell r="A745">
            <v>150030001</v>
          </cell>
          <cell r="B745" t="str">
            <v>INTERBRANCH A/CS - OTHERS</v>
          </cell>
          <cell r="C745">
            <v>0</v>
          </cell>
          <cell r="D745">
            <v>0</v>
          </cell>
          <cell r="E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</row>
        <row r="746">
          <cell r="A746">
            <v>150030002</v>
          </cell>
          <cell r="B746" t="str">
            <v>INTERBRANCH A/C - SYSTEMS ONLY</v>
          </cell>
          <cell r="C746">
            <v>0</v>
          </cell>
          <cell r="D746">
            <v>0</v>
          </cell>
          <cell r="E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</row>
        <row r="747">
          <cell r="A747">
            <v>150030003</v>
          </cell>
          <cell r="B747" t="str">
            <v>INTERGROUP-SIERRA LEONE</v>
          </cell>
          <cell r="C747">
            <v>0</v>
          </cell>
          <cell r="D747">
            <v>0</v>
          </cell>
          <cell r="E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</row>
        <row r="748">
          <cell r="A748">
            <v>150030004</v>
          </cell>
          <cell r="B748" t="str">
            <v>INTERGROUP-GAMBIA</v>
          </cell>
          <cell r="C748">
            <v>0</v>
          </cell>
          <cell r="D748">
            <v>0</v>
          </cell>
          <cell r="E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</row>
        <row r="749">
          <cell r="A749">
            <v>150030005</v>
          </cell>
          <cell r="B749" t="str">
            <v>INTERGROUP-GUINEA</v>
          </cell>
          <cell r="C749">
            <v>0</v>
          </cell>
          <cell r="D749">
            <v>0</v>
          </cell>
          <cell r="E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</row>
        <row r="750">
          <cell r="A750">
            <v>150030006</v>
          </cell>
          <cell r="B750" t="str">
            <v>INTERBRANCH CONVERSION GL</v>
          </cell>
          <cell r="C750">
            <v>0</v>
          </cell>
          <cell r="D750">
            <v>0</v>
          </cell>
          <cell r="E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</row>
        <row r="751">
          <cell r="A751">
            <v>150040001</v>
          </cell>
          <cell r="B751" t="str">
            <v>A/C RECV   FCY CHQS IN COLL.</v>
          </cell>
          <cell r="C751">
            <v>0</v>
          </cell>
          <cell r="D751">
            <v>0</v>
          </cell>
          <cell r="E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</row>
        <row r="752">
          <cell r="A752">
            <v>150040002</v>
          </cell>
          <cell r="B752" t="str">
            <v>A/C RECV   LCY CHQS IN COLL.</v>
          </cell>
          <cell r="C752">
            <v>0</v>
          </cell>
          <cell r="D752">
            <v>0</v>
          </cell>
          <cell r="E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</row>
        <row r="753">
          <cell r="A753">
            <v>150040003</v>
          </cell>
          <cell r="B753" t="str">
            <v>A/C RECV   CHEQUES PURCHASED</v>
          </cell>
          <cell r="C753">
            <v>0</v>
          </cell>
          <cell r="D753">
            <v>0</v>
          </cell>
          <cell r="E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</row>
        <row r="754">
          <cell r="A754">
            <v>150040004</v>
          </cell>
          <cell r="B754" t="str">
            <v>A/RECV- EMT LEVY- EMTL</v>
          </cell>
          <cell r="C754">
            <v>0</v>
          </cell>
          <cell r="D754">
            <v>0</v>
          </cell>
          <cell r="E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</row>
        <row r="755">
          <cell r="A755" t="str">
            <v>_x0012_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</row>
        <row r="756"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</row>
        <row r="757">
          <cell r="C757" t="str">
            <v>Polaris Bank Limited, N</v>
          </cell>
          <cell r="D757" t="str">
            <v>igeria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</row>
        <row r="758">
          <cell r="C758" t="str">
            <v>** Consolidated Balance Shee</v>
          </cell>
          <cell r="D758" t="str">
            <v>t CBN **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</row>
        <row r="759"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</row>
        <row r="760">
          <cell r="C760" t="str">
            <v>As on :     31-OCT-2025</v>
          </cell>
          <cell r="E760" t="str">
            <v>Page   :   14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</row>
        <row r="761"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</row>
        <row r="762">
          <cell r="A762" t="str">
            <v>User Id :</v>
          </cell>
          <cell r="B762" t="str">
            <v>SYSTEM</v>
          </cell>
          <cell r="C762" t="str">
            <v>Date 1 Time :     01-NOV-2025</v>
          </cell>
          <cell r="D762">
            <v>0.21625000000000003</v>
          </cell>
          <cell r="E762" t="str">
            <v>Module :   GL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</row>
        <row r="763">
          <cell r="A763" t="str">
            <v>----------</v>
          </cell>
          <cell r="B763" t="str">
            <v>----------------------------------------</v>
          </cell>
          <cell r="C763" t="str">
            <v>------------------------------</v>
          </cell>
          <cell r="D763" t="str">
            <v>------------------------------</v>
          </cell>
          <cell r="E763" t="str">
            <v>----------------------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</row>
        <row r="764">
          <cell r="A764" t="str">
            <v>GL Code</v>
          </cell>
          <cell r="B764" t="str">
            <v>Description</v>
          </cell>
          <cell r="C764" t="str">
            <v>LCY Amount</v>
          </cell>
          <cell r="D764" t="str">
            <v>FCY Amount (Lcy Eq)</v>
          </cell>
          <cell r="E764" t="str">
            <v>Total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</row>
        <row r="765"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</row>
        <row r="766">
          <cell r="A766" t="str">
            <v>----------</v>
          </cell>
          <cell r="B766" t="str">
            <v>----------------------------------------</v>
          </cell>
          <cell r="C766" t="str">
            <v>------------------------------</v>
          </cell>
          <cell r="D766" t="str">
            <v>------------------------------</v>
          </cell>
          <cell r="E766" t="str">
            <v>----------------------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</row>
        <row r="767">
          <cell r="A767" t="str">
            <v>Asset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</row>
        <row r="768"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</row>
        <row r="769">
          <cell r="A769">
            <v>150040005</v>
          </cell>
          <cell r="B769" t="str">
            <v>PLEDGED T-BILLS (AMORTISED COST)</v>
          </cell>
          <cell r="C769">
            <v>24064339000</v>
          </cell>
          <cell r="D769">
            <v>0</v>
          </cell>
          <cell r="E769">
            <v>24064339000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24064339000</v>
          </cell>
          <cell r="T769">
            <v>24064339000</v>
          </cell>
        </row>
        <row r="770">
          <cell r="A770">
            <v>150040006</v>
          </cell>
          <cell r="B770" t="str">
            <v>A/C RECV   TRANSIT ITEMS</v>
          </cell>
          <cell r="C770">
            <v>-4269657.67</v>
          </cell>
          <cell r="D770">
            <v>4216617.3499999996</v>
          </cell>
          <cell r="E770">
            <v>-53040.32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53040.32</v>
          </cell>
          <cell r="T770">
            <v>53040.32</v>
          </cell>
        </row>
        <row r="771">
          <cell r="A771">
            <v>150040007</v>
          </cell>
          <cell r="B771" t="str">
            <v>A/C RECV  FCY INWARD TRANSFER</v>
          </cell>
          <cell r="C771">
            <v>0</v>
          </cell>
          <cell r="D771">
            <v>0</v>
          </cell>
          <cell r="E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</row>
        <row r="772">
          <cell r="A772">
            <v>150040008</v>
          </cell>
          <cell r="B772" t="str">
            <v>A/C RECV FCY INWRD TRF (EXP. PRC</v>
          </cell>
          <cell r="C772">
            <v>0</v>
          </cell>
          <cell r="D772">
            <v>0</v>
          </cell>
          <cell r="E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</row>
        <row r="773">
          <cell r="A773">
            <v>150040009</v>
          </cell>
          <cell r="B773" t="str">
            <v>A/C RECV  LCY INWARD TRANSFER</v>
          </cell>
          <cell r="C773">
            <v>0</v>
          </cell>
          <cell r="D773">
            <v>0</v>
          </cell>
          <cell r="E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</row>
        <row r="774">
          <cell r="A774">
            <v>150040010</v>
          </cell>
          <cell r="B774" t="str">
            <v>A/C RECEIVABLE LASG SALARY PAYME</v>
          </cell>
          <cell r="C774">
            <v>0</v>
          </cell>
          <cell r="D774">
            <v>0</v>
          </cell>
          <cell r="E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</row>
        <row r="775">
          <cell r="A775">
            <v>150040011</v>
          </cell>
          <cell r="B775" t="str">
            <v>A/C RECV   INSURANCE CLAIMS &amp; SE</v>
          </cell>
          <cell r="C775">
            <v>0</v>
          </cell>
          <cell r="D775">
            <v>0</v>
          </cell>
          <cell r="E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</row>
        <row r="776">
          <cell r="A776">
            <v>150040012</v>
          </cell>
          <cell r="B776" t="str">
            <v>A/C RECV   EX STAFF DEBTS DUE</v>
          </cell>
          <cell r="C776">
            <v>0</v>
          </cell>
          <cell r="D776">
            <v>0</v>
          </cell>
          <cell r="E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</row>
        <row r="777">
          <cell r="A777">
            <v>150040013</v>
          </cell>
          <cell r="B777" t="str">
            <v>A/C RECV   EX STAFF CREDIT CARD</v>
          </cell>
          <cell r="C777">
            <v>0</v>
          </cell>
          <cell r="D777">
            <v>0</v>
          </cell>
          <cell r="E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</row>
        <row r="778">
          <cell r="A778">
            <v>150040014</v>
          </cell>
          <cell r="B778" t="str">
            <v>A/C RECV  FRAUD AND FORGERY</v>
          </cell>
          <cell r="C778">
            <v>2313470804.6300001</v>
          </cell>
          <cell r="D778">
            <v>6331217.4900000002</v>
          </cell>
          <cell r="E778">
            <v>2319802022.1199999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2319802022.1199999</v>
          </cell>
          <cell r="T778">
            <v>2319802022.1199999</v>
          </cell>
        </row>
        <row r="779">
          <cell r="A779">
            <v>150040015</v>
          </cell>
          <cell r="B779" t="str">
            <v>A/C REC CASH SHORTAGES</v>
          </cell>
          <cell r="C779">
            <v>0</v>
          </cell>
          <cell r="D779">
            <v>0</v>
          </cell>
          <cell r="E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</row>
        <row r="780">
          <cell r="A780">
            <v>150040016</v>
          </cell>
          <cell r="B780" t="str">
            <v>A/C RECV  J.A.M.B. RECEIVABLES</v>
          </cell>
          <cell r="C780">
            <v>0</v>
          </cell>
          <cell r="D780">
            <v>0</v>
          </cell>
          <cell r="E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</row>
        <row r="781">
          <cell r="A781">
            <v>150040017</v>
          </cell>
          <cell r="B781" t="str">
            <v>A/C RECV CLEARING INWARDS</v>
          </cell>
          <cell r="C781">
            <v>2569369.79</v>
          </cell>
          <cell r="D781">
            <v>0</v>
          </cell>
          <cell r="E781">
            <v>2569369.79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2569369.79</v>
          </cell>
          <cell r="T781">
            <v>2569369.79</v>
          </cell>
        </row>
        <row r="782">
          <cell r="A782">
            <v>150040018</v>
          </cell>
          <cell r="B782" t="str">
            <v>CENTRAL CLEARING HOUSE</v>
          </cell>
          <cell r="C782">
            <v>-195206745.53999999</v>
          </cell>
          <cell r="D782">
            <v>0</v>
          </cell>
          <cell r="E782">
            <v>-195206745.53999999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195206745.53999999</v>
          </cell>
          <cell r="T782">
            <v>195206745.53999999</v>
          </cell>
        </row>
        <row r="783">
          <cell r="A783">
            <v>150040019</v>
          </cell>
          <cell r="B783" t="str">
            <v>A/C RECV  CASH ADVANCES</v>
          </cell>
          <cell r="C783">
            <v>37142680</v>
          </cell>
          <cell r="D783">
            <v>0</v>
          </cell>
          <cell r="E783">
            <v>37142680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37142680</v>
          </cell>
          <cell r="T783">
            <v>37142680</v>
          </cell>
        </row>
        <row r="784">
          <cell r="A784">
            <v>150040020</v>
          </cell>
          <cell r="B784" t="str">
            <v>OTHER ACCOUNTS RECEIVABLE</v>
          </cell>
          <cell r="C784">
            <v>195681597.22999999</v>
          </cell>
          <cell r="D784">
            <v>0</v>
          </cell>
          <cell r="E784">
            <v>195681597.22999999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195681597.22999999</v>
          </cell>
          <cell r="T784">
            <v>195681597.22999999</v>
          </cell>
        </row>
        <row r="785">
          <cell r="A785">
            <v>150040021</v>
          </cell>
          <cell r="B785" t="str">
            <v>HOUSING ALLOWANCE UPFRONT</v>
          </cell>
          <cell r="C785">
            <v>0</v>
          </cell>
          <cell r="D785">
            <v>0</v>
          </cell>
          <cell r="E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</row>
        <row r="786">
          <cell r="A786">
            <v>150040022</v>
          </cell>
          <cell r="B786" t="str">
            <v>STAFF STUDY GRANT ALLOWANCE</v>
          </cell>
          <cell r="C786">
            <v>3335000</v>
          </cell>
          <cell r="D786">
            <v>0</v>
          </cell>
          <cell r="E786">
            <v>3335000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3335000</v>
          </cell>
          <cell r="T786">
            <v>3335000</v>
          </cell>
        </row>
        <row r="787">
          <cell r="A787">
            <v>150040023</v>
          </cell>
          <cell r="B787" t="str">
            <v>POS INTERSWITCH RECEIVABLE</v>
          </cell>
          <cell r="C787">
            <v>0</v>
          </cell>
          <cell r="D787">
            <v>0</v>
          </cell>
          <cell r="E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</row>
        <row r="788">
          <cell r="A788">
            <v>150040024</v>
          </cell>
          <cell r="B788" t="str">
            <v>HMO GL</v>
          </cell>
          <cell r="C788">
            <v>100658960.90000001</v>
          </cell>
          <cell r="D788">
            <v>-2.04</v>
          </cell>
          <cell r="E788">
            <v>100658958.86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100658958.86</v>
          </cell>
          <cell r="T788">
            <v>100658958.86</v>
          </cell>
        </row>
        <row r="789">
          <cell r="A789">
            <v>150040025</v>
          </cell>
          <cell r="B789" t="str">
            <v>INWARD CLRG BATCH</v>
          </cell>
          <cell r="C789">
            <v>970500</v>
          </cell>
          <cell r="D789">
            <v>0</v>
          </cell>
          <cell r="E789">
            <v>970500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970500</v>
          </cell>
          <cell r="T789">
            <v>970500</v>
          </cell>
        </row>
        <row r="790">
          <cell r="A790">
            <v>150040026</v>
          </cell>
          <cell r="B790" t="str">
            <v>A/C RECV   CLG OUTWARD</v>
          </cell>
          <cell r="C790">
            <v>-6991350</v>
          </cell>
          <cell r="D790">
            <v>0</v>
          </cell>
          <cell r="E790">
            <v>-6991350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6991350</v>
          </cell>
          <cell r="T790">
            <v>6991350</v>
          </cell>
        </row>
        <row r="791">
          <cell r="A791">
            <v>150040027</v>
          </cell>
          <cell r="B791" t="str">
            <v>INTERNATIONAL CARDS SETTLEMENT</v>
          </cell>
          <cell r="C791">
            <v>-132143.12</v>
          </cell>
          <cell r="D791">
            <v>0</v>
          </cell>
          <cell r="E791">
            <v>-132143.12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132143.12</v>
          </cell>
          <cell r="T791">
            <v>132143.12</v>
          </cell>
        </row>
        <row r="792">
          <cell r="A792">
            <v>150040028</v>
          </cell>
          <cell r="B792" t="str">
            <v>ETRANZACT CLEARING &amp; SETTLEMENT</v>
          </cell>
          <cell r="C792">
            <v>0</v>
          </cell>
          <cell r="D792">
            <v>0</v>
          </cell>
          <cell r="E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</row>
        <row r="793">
          <cell r="A793">
            <v>150040029</v>
          </cell>
          <cell r="B793" t="str">
            <v>AUTOPAY RECEIVABLE</v>
          </cell>
          <cell r="C793">
            <v>0</v>
          </cell>
          <cell r="D793">
            <v>0</v>
          </cell>
          <cell r="E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</row>
        <row r="794">
          <cell r="A794">
            <v>150040030</v>
          </cell>
          <cell r="B794" t="str">
            <v>VISA DEBIT CARD SETTLEMENT(USD)</v>
          </cell>
          <cell r="C794">
            <v>0</v>
          </cell>
          <cell r="D794">
            <v>0</v>
          </cell>
          <cell r="E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</row>
        <row r="795">
          <cell r="A795">
            <v>150040031</v>
          </cell>
          <cell r="B795" t="str">
            <v>VISA PREPAID CARD SETTLEMENT (US</v>
          </cell>
          <cell r="C795">
            <v>0</v>
          </cell>
          <cell r="D795">
            <v>127102.93</v>
          </cell>
          <cell r="E795">
            <v>127102.93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127102.93</v>
          </cell>
          <cell r="T795">
            <v>127102.93</v>
          </cell>
        </row>
        <row r="796">
          <cell r="A796">
            <v>150040032</v>
          </cell>
          <cell r="B796" t="str">
            <v>REC A/C WITH STANDARD CHARTERED</v>
          </cell>
          <cell r="C796">
            <v>0</v>
          </cell>
          <cell r="D796">
            <v>0</v>
          </cell>
          <cell r="E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</row>
        <row r="797">
          <cell r="A797">
            <v>150040033</v>
          </cell>
          <cell r="B797" t="str">
            <v>WHT RECEIVABLE- INVESTMENT SECUR</v>
          </cell>
          <cell r="C797">
            <v>678956738.52999997</v>
          </cell>
          <cell r="D797">
            <v>0</v>
          </cell>
          <cell r="E797">
            <v>678956738.52999997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678956738.52999997</v>
          </cell>
          <cell r="T797">
            <v>678956738.52999997</v>
          </cell>
        </row>
        <row r="798">
          <cell r="A798">
            <v>150040034</v>
          </cell>
          <cell r="B798" t="str">
            <v>ACCOUNT  RECV  RECOVERY</v>
          </cell>
          <cell r="C798">
            <v>24180449.579999998</v>
          </cell>
          <cell r="D798">
            <v>0</v>
          </cell>
          <cell r="E798">
            <v>24180449.579999998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24180449.579999998</v>
          </cell>
          <cell r="T798">
            <v>24180449.579999998</v>
          </cell>
        </row>
        <row r="799">
          <cell r="A799">
            <v>150040035</v>
          </cell>
          <cell r="B799" t="str">
            <v>M-SYSTEMS FLITCASH GL</v>
          </cell>
          <cell r="C799">
            <v>0</v>
          </cell>
          <cell r="D799">
            <v>0</v>
          </cell>
          <cell r="E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</row>
        <row r="800">
          <cell r="A800">
            <v>150040036</v>
          </cell>
          <cell r="B800" t="str">
            <v>M-SYSTEMS FLITCASH GL-NGN</v>
          </cell>
          <cell r="C800">
            <v>0</v>
          </cell>
          <cell r="D800">
            <v>0</v>
          </cell>
          <cell r="E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</row>
        <row r="801">
          <cell r="A801">
            <v>150040037</v>
          </cell>
          <cell r="B801" t="str">
            <v>A/C RECV  FCY WUMT(USD)</v>
          </cell>
          <cell r="C801">
            <v>0</v>
          </cell>
          <cell r="D801">
            <v>0</v>
          </cell>
          <cell r="E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</row>
        <row r="802">
          <cell r="A802">
            <v>150040038</v>
          </cell>
          <cell r="B802" t="str">
            <v>A/C RECV  FCY  WUMT2 (USD)</v>
          </cell>
          <cell r="C802">
            <v>0</v>
          </cell>
          <cell r="D802">
            <v>0</v>
          </cell>
          <cell r="E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</row>
        <row r="803">
          <cell r="A803">
            <v>150040039</v>
          </cell>
          <cell r="B803" t="str">
            <v>MONEYGRAM RECEIVABLE ACCOUNT</v>
          </cell>
          <cell r="C803">
            <v>873051.08</v>
          </cell>
          <cell r="D803">
            <v>-823701.81</v>
          </cell>
          <cell r="E803">
            <v>49349.27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49349.27</v>
          </cell>
          <cell r="T803">
            <v>49349.27</v>
          </cell>
        </row>
        <row r="804">
          <cell r="A804">
            <v>150040040</v>
          </cell>
          <cell r="B804" t="str">
            <v>A/C RECV(LCY) WUMT (NGN)</v>
          </cell>
          <cell r="C804">
            <v>0</v>
          </cell>
          <cell r="D804">
            <v>0</v>
          </cell>
          <cell r="E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</row>
        <row r="805">
          <cell r="A805">
            <v>150040041</v>
          </cell>
          <cell r="B805" t="str">
            <v>A/C RECV(LCY) WUMT-2 (NGN)</v>
          </cell>
          <cell r="C805">
            <v>0</v>
          </cell>
          <cell r="D805">
            <v>0</v>
          </cell>
          <cell r="E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</row>
        <row r="806">
          <cell r="A806">
            <v>150040042</v>
          </cell>
          <cell r="B806" t="str">
            <v>A/C RECV   MGT LOAN TRANSIT</v>
          </cell>
          <cell r="C806">
            <v>0</v>
          </cell>
          <cell r="D806">
            <v>0</v>
          </cell>
          <cell r="E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</row>
        <row r="807">
          <cell r="A807">
            <v>150040043</v>
          </cell>
          <cell r="B807" t="str">
            <v>RIA RECEIVABLE ACCOUNT</v>
          </cell>
          <cell r="C807">
            <v>395583.17</v>
          </cell>
          <cell r="D807">
            <v>0</v>
          </cell>
          <cell r="E807">
            <v>395583.17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395583.17</v>
          </cell>
          <cell r="T807">
            <v>395583.17</v>
          </cell>
        </row>
        <row r="808">
          <cell r="A808">
            <v>150040044</v>
          </cell>
          <cell r="B808" t="str">
            <v>GUINEA APS INTER-GROUP RECEIVABL</v>
          </cell>
          <cell r="C808">
            <v>0</v>
          </cell>
          <cell r="D808">
            <v>0</v>
          </cell>
          <cell r="E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</row>
        <row r="809">
          <cell r="A809">
            <v>150040045</v>
          </cell>
          <cell r="B809" t="str">
            <v>GAMBIAá APS INTER-GROUP RECEIVAB</v>
          </cell>
          <cell r="C809">
            <v>0</v>
          </cell>
          <cell r="D809">
            <v>0</v>
          </cell>
          <cell r="E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</row>
        <row r="810">
          <cell r="A810">
            <v>150040046</v>
          </cell>
          <cell r="B810" t="str">
            <v>SIERRA LEONEá APS INTER-GROUP RE</v>
          </cell>
          <cell r="C810">
            <v>0</v>
          </cell>
          <cell r="D810">
            <v>0</v>
          </cell>
          <cell r="E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</row>
        <row r="811">
          <cell r="A811">
            <v>150040047</v>
          </cell>
          <cell r="B811" t="str">
            <v>DERIVATIVE ASSET</v>
          </cell>
          <cell r="C811">
            <v>0</v>
          </cell>
          <cell r="D811">
            <v>0</v>
          </cell>
          <cell r="E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</row>
        <row r="812">
          <cell r="A812">
            <v>150040048</v>
          </cell>
          <cell r="B812" t="str">
            <v>A/C RECV-PAPSS STTLMENT ACCT</v>
          </cell>
          <cell r="C812">
            <v>10000000</v>
          </cell>
          <cell r="D812">
            <v>0</v>
          </cell>
          <cell r="E812">
            <v>10000000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10000000</v>
          </cell>
          <cell r="T812">
            <v>10000000</v>
          </cell>
        </row>
        <row r="813">
          <cell r="A813" t="str">
            <v>_x0012_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</row>
        <row r="814"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</row>
        <row r="815">
          <cell r="C815" t="str">
            <v>Polaris Bank Limited, N</v>
          </cell>
          <cell r="D815" t="str">
            <v>igeria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</row>
        <row r="816">
          <cell r="C816" t="str">
            <v>** Consolidated Balance Shee</v>
          </cell>
          <cell r="D816" t="str">
            <v>t CBN **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</row>
        <row r="817"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</row>
        <row r="818">
          <cell r="C818" t="str">
            <v>As on :     31-OCT-2025</v>
          </cell>
          <cell r="E818" t="str">
            <v>Page   :   15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</row>
        <row r="819"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</row>
        <row r="820">
          <cell r="A820" t="str">
            <v>User Id :</v>
          </cell>
          <cell r="B820" t="str">
            <v>SYSTEM</v>
          </cell>
          <cell r="C820" t="str">
            <v>Date 1 Time :     01-NOV-2025</v>
          </cell>
          <cell r="D820">
            <v>0.21625000000000003</v>
          </cell>
          <cell r="E820" t="str">
            <v>Module :   GL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</row>
        <row r="821">
          <cell r="A821" t="str">
            <v>----------</v>
          </cell>
          <cell r="B821" t="str">
            <v>----------------------------------------</v>
          </cell>
          <cell r="C821" t="str">
            <v>------------------------------</v>
          </cell>
          <cell r="D821" t="str">
            <v>------------------------------</v>
          </cell>
          <cell r="E821" t="str">
            <v>----------------------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</row>
        <row r="822">
          <cell r="A822" t="str">
            <v>GL Code</v>
          </cell>
          <cell r="B822" t="str">
            <v>Description</v>
          </cell>
          <cell r="C822" t="str">
            <v>LCY Amount</v>
          </cell>
          <cell r="D822" t="str">
            <v>FCY Amount (Lcy Eq)</v>
          </cell>
          <cell r="E822" t="str">
            <v>Total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</row>
        <row r="823"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</row>
        <row r="824">
          <cell r="A824" t="str">
            <v>----------</v>
          </cell>
          <cell r="B824" t="str">
            <v>----------------------------------------</v>
          </cell>
          <cell r="C824" t="str">
            <v>------------------------------</v>
          </cell>
          <cell r="D824" t="str">
            <v>------------------------------</v>
          </cell>
          <cell r="E824" t="str">
            <v>----------------------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</row>
        <row r="825">
          <cell r="A825" t="str">
            <v>Asset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</row>
        <row r="826"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</row>
        <row r="827">
          <cell r="A827">
            <v>150040049</v>
          </cell>
          <cell r="B827" t="str">
            <v>WESTERN UNION-CITIBANK SYNDICATI</v>
          </cell>
          <cell r="C827">
            <v>0</v>
          </cell>
          <cell r="D827">
            <v>0</v>
          </cell>
          <cell r="E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</row>
        <row r="828">
          <cell r="A828">
            <v>150040050</v>
          </cell>
          <cell r="B828" t="str">
            <v>TREASURY BLOTTER A/C</v>
          </cell>
          <cell r="C828">
            <v>-6338152903.25</v>
          </cell>
          <cell r="D828">
            <v>0</v>
          </cell>
          <cell r="E828">
            <v>-6338152903.25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6338152903.25</v>
          </cell>
          <cell r="T828">
            <v>6338152903.25</v>
          </cell>
        </row>
        <row r="829">
          <cell r="A829">
            <v>150040051</v>
          </cell>
          <cell r="B829" t="str">
            <v>INTERSWITCH / MASTERCARD OFF US</v>
          </cell>
          <cell r="C829">
            <v>-714552878.74000001</v>
          </cell>
          <cell r="D829">
            <v>0</v>
          </cell>
          <cell r="E829">
            <v>-714552878.74000001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714552878.74000001</v>
          </cell>
          <cell r="T829">
            <v>714552878.74000001</v>
          </cell>
        </row>
        <row r="830">
          <cell r="A830">
            <v>150040052</v>
          </cell>
          <cell r="B830" t="str">
            <v>VISA OFF US RECV</v>
          </cell>
          <cell r="C830">
            <v>-88822291.969999999</v>
          </cell>
          <cell r="D830">
            <v>0</v>
          </cell>
          <cell r="E830">
            <v>-88822291.969999999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88822291.969999999</v>
          </cell>
          <cell r="T830">
            <v>88822291.969999999</v>
          </cell>
        </row>
        <row r="831">
          <cell r="A831">
            <v>150040053</v>
          </cell>
          <cell r="B831" t="str">
            <v>INVESTMENT IN MAINSTREET BANK</v>
          </cell>
          <cell r="C831">
            <v>0</v>
          </cell>
          <cell r="D831">
            <v>0</v>
          </cell>
          <cell r="E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</row>
        <row r="832">
          <cell r="A832">
            <v>150040054</v>
          </cell>
          <cell r="B832" t="str">
            <v>VISA DEBIT CARD GL (USD)</v>
          </cell>
          <cell r="C832">
            <v>0</v>
          </cell>
          <cell r="D832">
            <v>18897520.780000001</v>
          </cell>
          <cell r="E832">
            <v>18897520.780000001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18897520.780000001</v>
          </cell>
          <cell r="T832">
            <v>18897520.780000001</v>
          </cell>
        </row>
        <row r="833">
          <cell r="A833">
            <v>150040055</v>
          </cell>
          <cell r="B833" t="str">
            <v>GAMBIA VISA OFFSHORE SETTLEMENT</v>
          </cell>
          <cell r="C833">
            <v>0</v>
          </cell>
          <cell r="D833">
            <v>0</v>
          </cell>
          <cell r="E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</row>
        <row r="834">
          <cell r="A834">
            <v>150040056</v>
          </cell>
          <cell r="B834" t="str">
            <v>GUINEA VISA OFFSHORE SETTLEMENT</v>
          </cell>
          <cell r="C834">
            <v>0</v>
          </cell>
          <cell r="D834">
            <v>0</v>
          </cell>
          <cell r="E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</row>
        <row r="835">
          <cell r="A835">
            <v>150040057</v>
          </cell>
          <cell r="B835" t="str">
            <v>SIERRA LEONE VISA OFFSHORE SETTL</v>
          </cell>
          <cell r="C835">
            <v>0</v>
          </cell>
          <cell r="D835">
            <v>0</v>
          </cell>
          <cell r="E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</row>
        <row r="836">
          <cell r="A836">
            <v>150040058</v>
          </cell>
          <cell r="B836" t="str">
            <v>GOOD FAITH INITIATIVE CHARGEBACK</v>
          </cell>
          <cell r="C836">
            <v>0</v>
          </cell>
          <cell r="D836">
            <v>0</v>
          </cell>
          <cell r="E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</row>
        <row r="837">
          <cell r="A837">
            <v>150040060</v>
          </cell>
          <cell r="B837" t="str">
            <v>MBL -  RECONCILATORY LEGACY</v>
          </cell>
          <cell r="C837">
            <v>0</v>
          </cell>
          <cell r="D837">
            <v>0</v>
          </cell>
          <cell r="E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</row>
        <row r="838">
          <cell r="A838">
            <v>150040061</v>
          </cell>
          <cell r="B838" t="str">
            <v>ACCOUNT RECEIVABLE - SUBSIDIARIE</v>
          </cell>
          <cell r="C838">
            <v>142769549.00999999</v>
          </cell>
          <cell r="D838">
            <v>0</v>
          </cell>
          <cell r="E838">
            <v>142769549.00999999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142769549.00999999</v>
          </cell>
          <cell r="T838">
            <v>142769549.00999999</v>
          </cell>
        </row>
        <row r="839">
          <cell r="A839">
            <v>150040069</v>
          </cell>
          <cell r="B839" t="str">
            <v>INTL NOT-ON-US VISA</v>
          </cell>
          <cell r="C839">
            <v>0</v>
          </cell>
          <cell r="D839">
            <v>0</v>
          </cell>
          <cell r="E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</row>
        <row r="840">
          <cell r="A840">
            <v>150040070</v>
          </cell>
          <cell r="B840" t="str">
            <v>NIBSS TRANSFER RECEIVABLE ACCOUN</v>
          </cell>
          <cell r="C840">
            <v>5584798798.7399998</v>
          </cell>
          <cell r="D840">
            <v>0</v>
          </cell>
          <cell r="E840">
            <v>5584798798.7399998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5584798798.7399998</v>
          </cell>
          <cell r="T840">
            <v>5584798798.7399998</v>
          </cell>
        </row>
        <row r="841">
          <cell r="A841">
            <v>150040072</v>
          </cell>
          <cell r="B841" t="str">
            <v>PERSONAL LOAN INSURANCE INC. REC</v>
          </cell>
          <cell r="C841">
            <v>0</v>
          </cell>
          <cell r="D841">
            <v>0</v>
          </cell>
          <cell r="E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</row>
        <row r="842">
          <cell r="A842">
            <v>150040073</v>
          </cell>
          <cell r="B842" t="str">
            <v>CBN BAILOUT INT. HOLIDAY</v>
          </cell>
          <cell r="C842">
            <v>346653051.86000001</v>
          </cell>
          <cell r="D842">
            <v>0</v>
          </cell>
          <cell r="E842">
            <v>346653051.86000001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346653051.86000001</v>
          </cell>
          <cell r="T842">
            <v>346653051.86000001</v>
          </cell>
        </row>
        <row r="843">
          <cell r="A843">
            <v>150040074</v>
          </cell>
          <cell r="B843" t="str">
            <v>A/C RECV SMALLWORLD(LCY)  (NGN)</v>
          </cell>
          <cell r="C843">
            <v>0</v>
          </cell>
          <cell r="D843">
            <v>0</v>
          </cell>
          <cell r="E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</row>
        <row r="844">
          <cell r="A844">
            <v>150040075</v>
          </cell>
          <cell r="B844" t="str">
            <v>PREPAYMENT SUSPENSE</v>
          </cell>
          <cell r="C844">
            <v>158516825</v>
          </cell>
          <cell r="D844">
            <v>13053537.949999999</v>
          </cell>
          <cell r="E844">
            <v>171570362.94999999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171570362.94999999</v>
          </cell>
          <cell r="T844">
            <v>171570362.94999999</v>
          </cell>
        </row>
        <row r="845">
          <cell r="A845">
            <v>150040076</v>
          </cell>
          <cell r="B845" t="str">
            <v>A/C RECEIVABE ATM CASH SHORTAGE</v>
          </cell>
          <cell r="C845">
            <v>0</v>
          </cell>
          <cell r="D845">
            <v>0</v>
          </cell>
          <cell r="E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</row>
        <row r="846">
          <cell r="A846">
            <v>150040077</v>
          </cell>
          <cell r="B846" t="str">
            <v>MASTERPASS RECEIVABLE  GL</v>
          </cell>
          <cell r="C846">
            <v>0</v>
          </cell>
          <cell r="D846">
            <v>0</v>
          </cell>
          <cell r="E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</row>
        <row r="847">
          <cell r="A847">
            <v>150040078</v>
          </cell>
          <cell r="B847" t="str">
            <v>AMCON RECEIVABLE</v>
          </cell>
          <cell r="C847">
            <v>165038302627.16</v>
          </cell>
          <cell r="D847">
            <v>0</v>
          </cell>
          <cell r="E847">
            <v>165038302627.16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165038302627.16</v>
          </cell>
          <cell r="T847">
            <v>165038302627.16</v>
          </cell>
        </row>
        <row r="848">
          <cell r="A848">
            <v>150040079</v>
          </cell>
          <cell r="B848" t="str">
            <v>DIVESTMENT IN SUBSIDIARIES</v>
          </cell>
          <cell r="C848">
            <v>0</v>
          </cell>
          <cell r="D848">
            <v>0</v>
          </cell>
          <cell r="E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</row>
        <row r="849">
          <cell r="A849">
            <v>150040083</v>
          </cell>
          <cell r="B849" t="str">
            <v>A/C RECV- CBN NAIRA 4 DOLLAR INC</v>
          </cell>
          <cell r="C849">
            <v>0</v>
          </cell>
          <cell r="D849">
            <v>0</v>
          </cell>
          <cell r="E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</row>
        <row r="850">
          <cell r="A850">
            <v>150040085</v>
          </cell>
          <cell r="B850" t="str">
            <v>UNIFIED TAGLESS ACQUIRER NOT ON-</v>
          </cell>
          <cell r="C850">
            <v>-41430.050000000003</v>
          </cell>
          <cell r="D850">
            <v>0</v>
          </cell>
          <cell r="E850">
            <v>-41430.050000000003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41430.050000000003</v>
          </cell>
          <cell r="T850">
            <v>41430.050000000003</v>
          </cell>
        </row>
        <row r="851">
          <cell r="A851">
            <v>150040086</v>
          </cell>
          <cell r="B851" t="str">
            <v>FLIT CASH COLLECTION RECEIVABLE</v>
          </cell>
          <cell r="C851">
            <v>0</v>
          </cell>
          <cell r="D851">
            <v>0</v>
          </cell>
          <cell r="E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</row>
        <row r="852">
          <cell r="A852">
            <v>150040087</v>
          </cell>
          <cell r="B852" t="str">
            <v>FIRS COLLECTION RECEIVABLE</v>
          </cell>
          <cell r="C852">
            <v>0</v>
          </cell>
          <cell r="D852">
            <v>0</v>
          </cell>
          <cell r="E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</row>
        <row r="853">
          <cell r="A853">
            <v>150040088</v>
          </cell>
          <cell r="B853" t="str">
            <v>A/C RECEIVABLE-FLUTTER WAVE</v>
          </cell>
          <cell r="C853">
            <v>0</v>
          </cell>
          <cell r="D853">
            <v>0</v>
          </cell>
          <cell r="E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</row>
        <row r="854">
          <cell r="A854">
            <v>150040089</v>
          </cell>
          <cell r="B854" t="str">
            <v>AGSMIES RECEIVABLE</v>
          </cell>
          <cell r="C854">
            <v>0</v>
          </cell>
          <cell r="D854">
            <v>0</v>
          </cell>
          <cell r="E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</row>
        <row r="855">
          <cell r="A855">
            <v>150040090</v>
          </cell>
          <cell r="B855" t="str">
            <v>UNIFIED ACQUIRER ATM OFF US</v>
          </cell>
          <cell r="C855">
            <v>-146129468.5</v>
          </cell>
          <cell r="D855">
            <v>0</v>
          </cell>
          <cell r="E855">
            <v>-146129468.5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146129468.5</v>
          </cell>
          <cell r="T855">
            <v>146129468.5</v>
          </cell>
        </row>
        <row r="856">
          <cell r="A856">
            <v>150040091</v>
          </cell>
          <cell r="B856" t="str">
            <v>AMERICAN EXPRESS ATM OFF US RECE</v>
          </cell>
          <cell r="C856">
            <v>-29913.75</v>
          </cell>
          <cell r="D856">
            <v>0</v>
          </cell>
          <cell r="E856">
            <v>-29913.75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29913.75</v>
          </cell>
          <cell r="T856">
            <v>29913.75</v>
          </cell>
        </row>
        <row r="857">
          <cell r="A857">
            <v>150040092</v>
          </cell>
          <cell r="B857" t="str">
            <v>WORLD REMIT RECEIVABLE ACCOUNT</v>
          </cell>
          <cell r="C857">
            <v>0</v>
          </cell>
          <cell r="D857">
            <v>0</v>
          </cell>
          <cell r="E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</row>
        <row r="858">
          <cell r="A858">
            <v>150040093</v>
          </cell>
          <cell r="B858" t="str">
            <v>OTHER RECEIVABLES-COLLECTION ACC</v>
          </cell>
          <cell r="C858">
            <v>894401632.03999996</v>
          </cell>
          <cell r="D858">
            <v>0</v>
          </cell>
          <cell r="E858">
            <v>894401632.03999996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894401632.03999996</v>
          </cell>
          <cell r="T858">
            <v>894401632.03999996</v>
          </cell>
        </row>
        <row r="859">
          <cell r="A859">
            <v>150040095</v>
          </cell>
          <cell r="B859" t="str">
            <v>A/C RECEIVABLE- REMITLY MONEY TR</v>
          </cell>
          <cell r="C859">
            <v>0</v>
          </cell>
          <cell r="D859">
            <v>-1428553.23</v>
          </cell>
          <cell r="E859">
            <v>-1428553.23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1428553.23</v>
          </cell>
          <cell r="T859">
            <v>1428553.23</v>
          </cell>
        </row>
        <row r="860">
          <cell r="A860">
            <v>150040096</v>
          </cell>
          <cell r="B860" t="str">
            <v>A/C RECEIVABLE- SHIFT FINANCIALS</v>
          </cell>
          <cell r="C860">
            <v>0</v>
          </cell>
          <cell r="D860">
            <v>0</v>
          </cell>
          <cell r="E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</row>
        <row r="861">
          <cell r="A861">
            <v>150040097</v>
          </cell>
          <cell r="B861" t="str">
            <v>A/C RECEIVABLE - ETZ Web</v>
          </cell>
          <cell r="C861">
            <v>0</v>
          </cell>
          <cell r="D861">
            <v>0</v>
          </cell>
          <cell r="E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</row>
        <row r="862">
          <cell r="A862">
            <v>150040098</v>
          </cell>
          <cell r="B862" t="str">
            <v>A/C RECV- CASA SETTL FOR ETRANZA</v>
          </cell>
          <cell r="C862">
            <v>0</v>
          </cell>
          <cell r="D862">
            <v>0</v>
          </cell>
          <cell r="E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</row>
        <row r="863">
          <cell r="A863">
            <v>150040099</v>
          </cell>
          <cell r="B863" t="str">
            <v>A/C RECV- Interbank Electronic T</v>
          </cell>
          <cell r="C863">
            <v>1017487420.77</v>
          </cell>
          <cell r="D863">
            <v>0</v>
          </cell>
          <cell r="E863">
            <v>1017487420.77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1017487420.77</v>
          </cell>
          <cell r="T863">
            <v>1017487420.77</v>
          </cell>
        </row>
        <row r="864">
          <cell r="A864">
            <v>150040100</v>
          </cell>
          <cell r="B864" t="str">
            <v>A/C RECV- INTERBANK ELECTR TRANS</v>
          </cell>
          <cell r="C864">
            <v>0</v>
          </cell>
          <cell r="D864">
            <v>0</v>
          </cell>
          <cell r="E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</row>
        <row r="865">
          <cell r="A865">
            <v>150040101</v>
          </cell>
          <cell r="B865" t="str">
            <v>A/C RECV- NIBSS Faster Payment I</v>
          </cell>
          <cell r="C865">
            <v>75236336287.770004</v>
          </cell>
          <cell r="D865">
            <v>0</v>
          </cell>
          <cell r="E865">
            <v>75236336287.770004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75236336287.770004</v>
          </cell>
          <cell r="T865">
            <v>75236336287.770004</v>
          </cell>
        </row>
        <row r="866">
          <cell r="A866">
            <v>150040102</v>
          </cell>
          <cell r="B866" t="str">
            <v>A/C RECV- NIBSS Faster Payment o</v>
          </cell>
          <cell r="C866">
            <v>0</v>
          </cell>
          <cell r="D866">
            <v>0</v>
          </cell>
          <cell r="E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</row>
        <row r="867">
          <cell r="A867">
            <v>150040103</v>
          </cell>
          <cell r="B867" t="str">
            <v>A/C RECV- ETZ INWARD</v>
          </cell>
          <cell r="C867">
            <v>3013883170.71</v>
          </cell>
          <cell r="D867">
            <v>0</v>
          </cell>
          <cell r="E867">
            <v>3013883170.71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3013883170.71</v>
          </cell>
          <cell r="T867">
            <v>3013883170.71</v>
          </cell>
        </row>
        <row r="868">
          <cell r="A868">
            <v>150040104</v>
          </cell>
          <cell r="B868" t="str">
            <v>A/C RECV- UPSL INWARD TRANSN</v>
          </cell>
          <cell r="C868">
            <v>6855414.5599999996</v>
          </cell>
          <cell r="D868">
            <v>0</v>
          </cell>
          <cell r="E868">
            <v>6855414.5599999996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6855414.5599999996</v>
          </cell>
          <cell r="T868">
            <v>6855414.5599999996</v>
          </cell>
        </row>
        <row r="869">
          <cell r="A869">
            <v>150040105</v>
          </cell>
          <cell r="B869" t="str">
            <v>A/C RECV- REMITA CORP TRANSIT AC</v>
          </cell>
          <cell r="C869">
            <v>0</v>
          </cell>
          <cell r="D869">
            <v>0</v>
          </cell>
          <cell r="E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</row>
        <row r="870">
          <cell r="A870">
            <v>150040106</v>
          </cell>
          <cell r="B870" t="str">
            <v>A/C RECV- PAPSS INWARD ACCOUNT</v>
          </cell>
          <cell r="C870">
            <v>30027.1</v>
          </cell>
          <cell r="D870">
            <v>0</v>
          </cell>
          <cell r="E870">
            <v>30027.1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30027.1</v>
          </cell>
          <cell r="T870">
            <v>30027.1</v>
          </cell>
        </row>
        <row r="871">
          <cell r="A871" t="str">
            <v>_x0012_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</row>
        <row r="872"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</row>
        <row r="873">
          <cell r="C873" t="str">
            <v>Polaris Bank Limited, N</v>
          </cell>
          <cell r="D873" t="str">
            <v>igeria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</row>
        <row r="874">
          <cell r="C874" t="str">
            <v>** Consolidated Balance Shee</v>
          </cell>
          <cell r="D874" t="str">
            <v>t CBN **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</row>
        <row r="875"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</row>
        <row r="876">
          <cell r="C876" t="str">
            <v>As on :     31-OCT-2025</v>
          </cell>
          <cell r="E876" t="str">
            <v>Page   :   16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</row>
        <row r="877"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</row>
        <row r="878">
          <cell r="A878" t="str">
            <v>User Id :</v>
          </cell>
          <cell r="B878" t="str">
            <v>SYSTEM</v>
          </cell>
          <cell r="C878" t="str">
            <v>Date 1 Time :     01-NOV-2025</v>
          </cell>
          <cell r="D878">
            <v>0.21625000000000003</v>
          </cell>
          <cell r="E878" t="str">
            <v>Module :   GL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</row>
        <row r="879">
          <cell r="A879" t="str">
            <v>----------</v>
          </cell>
          <cell r="B879" t="str">
            <v>----------------------------------------</v>
          </cell>
          <cell r="C879" t="str">
            <v>------------------------------</v>
          </cell>
          <cell r="D879" t="str">
            <v>------------------------------</v>
          </cell>
          <cell r="E879" t="str">
            <v>----------------------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</row>
        <row r="880">
          <cell r="A880" t="str">
            <v>GL Code</v>
          </cell>
          <cell r="B880" t="str">
            <v>Description</v>
          </cell>
          <cell r="C880" t="str">
            <v>LCY Amount</v>
          </cell>
          <cell r="D880" t="str">
            <v>FCY Amount (Lcy Eq)</v>
          </cell>
          <cell r="E880" t="str">
            <v>Total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</row>
        <row r="881"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</row>
        <row r="882">
          <cell r="A882" t="str">
            <v>----------</v>
          </cell>
          <cell r="B882" t="str">
            <v>----------------------------------------</v>
          </cell>
          <cell r="C882" t="str">
            <v>------------------------------</v>
          </cell>
          <cell r="D882" t="str">
            <v>------------------------------</v>
          </cell>
          <cell r="E882" t="str">
            <v>----------------------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</row>
        <row r="883">
          <cell r="A883" t="str">
            <v>Asset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</row>
        <row r="884"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</row>
        <row r="885">
          <cell r="A885">
            <v>150040107</v>
          </cell>
          <cell r="B885" t="str">
            <v>AFRIGO CARD-ATM NOT ON US RECEI</v>
          </cell>
          <cell r="C885">
            <v>1139276543.8199999</v>
          </cell>
          <cell r="D885">
            <v>0</v>
          </cell>
          <cell r="E885">
            <v>1139276543.8199999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1139276543.8199999</v>
          </cell>
          <cell r="T885">
            <v>1139276543.8199999</v>
          </cell>
        </row>
        <row r="886">
          <cell r="A886">
            <v>150040108</v>
          </cell>
          <cell r="B886" t="str">
            <v>IMTO TSS RECEIVABLES ACCT</v>
          </cell>
          <cell r="C886">
            <v>76144.5</v>
          </cell>
          <cell r="D886">
            <v>2662701.14</v>
          </cell>
          <cell r="E886">
            <v>2738845.64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2738845.64</v>
          </cell>
          <cell r="T886">
            <v>2738845.64</v>
          </cell>
        </row>
        <row r="887">
          <cell r="A887">
            <v>150050002</v>
          </cell>
          <cell r="B887" t="str">
            <v>FIXED ASSETS SUSPENSE ACCOUNT</v>
          </cell>
          <cell r="C887">
            <v>91423998.109999999</v>
          </cell>
          <cell r="D887">
            <v>0</v>
          </cell>
          <cell r="E887">
            <v>91423998.109999999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91423998.109999999</v>
          </cell>
          <cell r="T887">
            <v>91423998.109999999</v>
          </cell>
        </row>
        <row r="888">
          <cell r="A888">
            <v>150050003</v>
          </cell>
          <cell r="B888" t="str">
            <v>NEFT- SUSPENSE</v>
          </cell>
          <cell r="C888">
            <v>0</v>
          </cell>
          <cell r="D888">
            <v>0</v>
          </cell>
          <cell r="E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</row>
        <row r="889">
          <cell r="A889">
            <v>150050004</v>
          </cell>
          <cell r="B889" t="str">
            <v>REAL ASSET HELD FOR SALE SUSPENS</v>
          </cell>
          <cell r="C889">
            <v>0</v>
          </cell>
          <cell r="D889">
            <v>0</v>
          </cell>
          <cell r="E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</row>
        <row r="890">
          <cell r="A890">
            <v>150060001</v>
          </cell>
          <cell r="B890" t="str">
            <v>CONVERSION GL POLARIS  LOANS</v>
          </cell>
          <cell r="C890">
            <v>0</v>
          </cell>
          <cell r="D890">
            <v>0</v>
          </cell>
          <cell r="E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</row>
        <row r="891">
          <cell r="A891">
            <v>150060003</v>
          </cell>
          <cell r="B891" t="str">
            <v>STAFF LOANS   RENT LOANS</v>
          </cell>
          <cell r="C891">
            <v>0</v>
          </cell>
          <cell r="D891">
            <v>0</v>
          </cell>
          <cell r="E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</row>
        <row r="892">
          <cell r="A892">
            <v>150060004</v>
          </cell>
          <cell r="B892" t="str">
            <v>STAFF LOANS   SPECIAL GSM LOANS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</row>
        <row r="893">
          <cell r="A893">
            <v>150060005</v>
          </cell>
          <cell r="B893" t="str">
            <v>STAFF LOANS   SPECIAL</v>
          </cell>
          <cell r="C893">
            <v>0</v>
          </cell>
          <cell r="D893">
            <v>0</v>
          </cell>
          <cell r="E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</row>
        <row r="894">
          <cell r="A894">
            <v>150060006</v>
          </cell>
          <cell r="B894" t="str">
            <v>OTHERFIXED ASSETS</v>
          </cell>
          <cell r="C894">
            <v>0</v>
          </cell>
          <cell r="D894">
            <v>0</v>
          </cell>
          <cell r="E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</row>
        <row r="895">
          <cell r="A895">
            <v>150060007</v>
          </cell>
          <cell r="B895" t="str">
            <v>INTEREST RECV</v>
          </cell>
          <cell r="C895">
            <v>6047791.7800000003</v>
          </cell>
          <cell r="D895">
            <v>0</v>
          </cell>
          <cell r="E895">
            <v>6047791.7800000003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6047791.7800000003</v>
          </cell>
          <cell r="T895">
            <v>6047791.7800000003</v>
          </cell>
        </row>
        <row r="896">
          <cell r="A896">
            <v>150060008</v>
          </cell>
          <cell r="B896" t="str">
            <v>INT. RECV   TERM LOANS   (302)</v>
          </cell>
          <cell r="C896">
            <v>0</v>
          </cell>
          <cell r="D896">
            <v>0</v>
          </cell>
          <cell r="E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</row>
        <row r="897">
          <cell r="A897">
            <v>150060009</v>
          </cell>
          <cell r="B897" t="str">
            <v>INT. RECV   TERM LOAN- CBN FACIL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</row>
        <row r="898">
          <cell r="A898">
            <v>150060010</v>
          </cell>
          <cell r="B898" t="str">
            <v>INT. RECV   ON ADVANCE-CBN FACIL</v>
          </cell>
          <cell r="C898">
            <v>5340196.99</v>
          </cell>
          <cell r="D898">
            <v>0</v>
          </cell>
          <cell r="E898">
            <v>5340196.99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5340196.99</v>
          </cell>
          <cell r="T898">
            <v>5340196.99</v>
          </cell>
        </row>
        <row r="899">
          <cell r="A899">
            <v>150060011</v>
          </cell>
          <cell r="B899" t="str">
            <v>INT. RECV   STD S/A    (101)</v>
          </cell>
          <cell r="C899">
            <v>-3606981.01</v>
          </cell>
          <cell r="D899">
            <v>0</v>
          </cell>
          <cell r="E899">
            <v>-3606981.01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-3606981.01</v>
          </cell>
          <cell r="T899">
            <v>-3606981.01</v>
          </cell>
        </row>
        <row r="900">
          <cell r="A900">
            <v>150060012</v>
          </cell>
          <cell r="B900" t="str">
            <v>INT. RECV   OVERDRAFTS</v>
          </cell>
          <cell r="C900">
            <v>0</v>
          </cell>
          <cell r="D900">
            <v>0</v>
          </cell>
          <cell r="E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</row>
        <row r="901">
          <cell r="A901">
            <v>150060013</v>
          </cell>
          <cell r="B901" t="str">
            <v>INT. RECV  WORKPLACE BANKING (WP</v>
          </cell>
          <cell r="C901">
            <v>6857377.7800000003</v>
          </cell>
          <cell r="D901">
            <v>0</v>
          </cell>
          <cell r="E901">
            <v>6857377.7800000003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6857377.7800000003</v>
          </cell>
          <cell r="T901">
            <v>6857377.7800000003</v>
          </cell>
        </row>
        <row r="902">
          <cell r="A902">
            <v>150060014</v>
          </cell>
          <cell r="B902" t="str">
            <v>INT. RECV   CAPITALISED LEASES</v>
          </cell>
          <cell r="C902">
            <v>63871.86</v>
          </cell>
          <cell r="D902">
            <v>0</v>
          </cell>
          <cell r="E902">
            <v>63871.86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63871.86</v>
          </cell>
          <cell r="T902">
            <v>63871.86</v>
          </cell>
        </row>
        <row r="903">
          <cell r="A903">
            <v>150060015</v>
          </cell>
          <cell r="B903" t="str">
            <v>INT. RECV  STAFF LOANS</v>
          </cell>
          <cell r="C903">
            <v>151869.6</v>
          </cell>
          <cell r="D903">
            <v>0</v>
          </cell>
          <cell r="E903">
            <v>151869.6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151869.6</v>
          </cell>
          <cell r="T903">
            <v>151869.6</v>
          </cell>
        </row>
        <row r="904">
          <cell r="A904">
            <v>150060016</v>
          </cell>
          <cell r="B904" t="str">
            <v>INT. RECV   BA PURCHASED</v>
          </cell>
          <cell r="C904">
            <v>2077910.8</v>
          </cell>
          <cell r="D904">
            <v>0</v>
          </cell>
          <cell r="E904">
            <v>2077910.8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2077910.8</v>
          </cell>
          <cell r="T904">
            <v>2077910.8</v>
          </cell>
        </row>
        <row r="905">
          <cell r="A905">
            <v>150060017</v>
          </cell>
          <cell r="B905" t="str">
            <v>INT. RECV   DOM USD   252</v>
          </cell>
          <cell r="C905">
            <v>0</v>
          </cell>
          <cell r="D905">
            <v>0</v>
          </cell>
          <cell r="E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</row>
        <row r="906">
          <cell r="A906">
            <v>150060018</v>
          </cell>
          <cell r="B906" t="str">
            <v>INT. RECV   DOM GBP   280</v>
          </cell>
          <cell r="C906">
            <v>0</v>
          </cell>
          <cell r="D906">
            <v>0</v>
          </cell>
          <cell r="E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</row>
        <row r="907">
          <cell r="A907">
            <v>150060019</v>
          </cell>
          <cell r="B907" t="str">
            <v>INTEREST ACC  ADVANCES</v>
          </cell>
          <cell r="C907">
            <v>263397260.27000001</v>
          </cell>
          <cell r="D907">
            <v>0</v>
          </cell>
          <cell r="E907">
            <v>263397260.27000001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263397260.27000001</v>
          </cell>
          <cell r="T907">
            <v>263397260.27000001</v>
          </cell>
        </row>
        <row r="908">
          <cell r="A908">
            <v>150060020</v>
          </cell>
          <cell r="B908" t="str">
            <v>INT. RECV   CP PURCHASED</v>
          </cell>
          <cell r="C908">
            <v>0</v>
          </cell>
          <cell r="D908">
            <v>0</v>
          </cell>
          <cell r="E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</row>
        <row r="909">
          <cell r="A909">
            <v>150060022</v>
          </cell>
          <cell r="B909" t="str">
            <v>DISCOUNT INTEREST   TERM DEPOSIT</v>
          </cell>
          <cell r="C909">
            <v>0</v>
          </cell>
          <cell r="D909">
            <v>0</v>
          </cell>
          <cell r="E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</row>
        <row r="910">
          <cell r="A910">
            <v>150060023</v>
          </cell>
          <cell r="B910" t="str">
            <v>PREPAID INTEREST ON POLARIS DISC</v>
          </cell>
          <cell r="C910">
            <v>1282550353.5</v>
          </cell>
          <cell r="D910">
            <v>559729775.04999995</v>
          </cell>
          <cell r="E910">
            <v>1842280128.55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1842280128.55</v>
          </cell>
          <cell r="T910">
            <v>1842280128.55</v>
          </cell>
        </row>
        <row r="911">
          <cell r="A911">
            <v>150060024</v>
          </cell>
          <cell r="B911" t="str">
            <v>SIR - EIB TRUSTEES LTD</v>
          </cell>
          <cell r="C911">
            <v>0</v>
          </cell>
          <cell r="D911">
            <v>0</v>
          </cell>
          <cell r="E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</row>
        <row r="912">
          <cell r="A912">
            <v>150060025</v>
          </cell>
          <cell r="B912" t="str">
            <v>UPFRONT INTEREST ON BANKERS ACCE</v>
          </cell>
          <cell r="C912">
            <v>0</v>
          </cell>
          <cell r="D912">
            <v>0</v>
          </cell>
          <cell r="E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</row>
        <row r="913">
          <cell r="A913">
            <v>150060026</v>
          </cell>
          <cell r="B913" t="str">
            <v>EIB - INTEREST ON LOAN SUSPENSE</v>
          </cell>
          <cell r="C913">
            <v>0</v>
          </cell>
          <cell r="D913">
            <v>0</v>
          </cell>
          <cell r="E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</row>
        <row r="914">
          <cell r="A914">
            <v>150060027</v>
          </cell>
          <cell r="B914" t="str">
            <v>A/C RECV   STAFF ADV</v>
          </cell>
          <cell r="C914">
            <v>0</v>
          </cell>
          <cell r="D914">
            <v>0</v>
          </cell>
          <cell r="E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</row>
        <row r="915">
          <cell r="A915">
            <v>150060028</v>
          </cell>
          <cell r="B915" t="str">
            <v>INVENTORY  - CARD SERVICES(SUSPE</v>
          </cell>
          <cell r="C915">
            <v>0</v>
          </cell>
          <cell r="D915">
            <v>0</v>
          </cell>
          <cell r="E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</row>
        <row r="916">
          <cell r="A916">
            <v>150060029</v>
          </cell>
          <cell r="B916" t="str">
            <v>INTERBRANCH UNRESOLVED BALANCES</v>
          </cell>
          <cell r="C916">
            <v>0</v>
          </cell>
          <cell r="D916">
            <v>0</v>
          </cell>
          <cell r="E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</row>
        <row r="917">
          <cell r="A917">
            <v>150060030</v>
          </cell>
          <cell r="B917" t="str">
            <v>BOND INTERBRANCH-PRUDENT S/MENT</v>
          </cell>
          <cell r="C917">
            <v>0</v>
          </cell>
          <cell r="D917">
            <v>0</v>
          </cell>
          <cell r="E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</row>
        <row r="918">
          <cell r="A918">
            <v>150060031</v>
          </cell>
          <cell r="B918" t="str">
            <v>BOND INTERBRANCH-EIB S/MENT A/C</v>
          </cell>
          <cell r="C918">
            <v>0</v>
          </cell>
          <cell r="D918">
            <v>0</v>
          </cell>
          <cell r="E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</row>
        <row r="919">
          <cell r="A919">
            <v>150060032</v>
          </cell>
          <cell r="B919" t="str">
            <v>BOND INTERBRANCH-RELIANC S/MENT</v>
          </cell>
          <cell r="C919">
            <v>0</v>
          </cell>
          <cell r="D919">
            <v>0</v>
          </cell>
          <cell r="E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</row>
        <row r="920">
          <cell r="A920">
            <v>150060033</v>
          </cell>
          <cell r="B920" t="str">
            <v>CONVERSION-LOANS AND DEPOSITS</v>
          </cell>
          <cell r="C920">
            <v>0</v>
          </cell>
          <cell r="D920">
            <v>0</v>
          </cell>
          <cell r="E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</row>
        <row r="921">
          <cell r="A921">
            <v>150060034</v>
          </cell>
          <cell r="B921" t="str">
            <v>FEES RECVáá MANAGEMENT FEES</v>
          </cell>
          <cell r="C921">
            <v>0</v>
          </cell>
          <cell r="D921">
            <v>0</v>
          </cell>
          <cell r="E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</row>
        <row r="922">
          <cell r="A922">
            <v>150060037</v>
          </cell>
          <cell r="B922" t="str">
            <v>INT. RECVáá OTHERS</v>
          </cell>
          <cell r="C922">
            <v>24110.63</v>
          </cell>
          <cell r="D922">
            <v>0</v>
          </cell>
          <cell r="E922">
            <v>24110.63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24110.63</v>
          </cell>
          <cell r="T922">
            <v>24110.63</v>
          </cell>
        </row>
        <row r="923">
          <cell r="A923">
            <v>150060038</v>
          </cell>
          <cell r="B923" t="str">
            <v>ATM FRAUD SETTLEMENT GL</v>
          </cell>
          <cell r="C923">
            <v>0</v>
          </cell>
          <cell r="D923">
            <v>0</v>
          </cell>
          <cell r="E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</row>
        <row r="924">
          <cell r="A924">
            <v>150060039</v>
          </cell>
          <cell r="B924" t="str">
            <v>ATM RECONCILIATION SETTLEMENT</v>
          </cell>
          <cell r="C924">
            <v>0</v>
          </cell>
          <cell r="D924">
            <v>0</v>
          </cell>
          <cell r="E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</row>
        <row r="925">
          <cell r="A925">
            <v>150060040</v>
          </cell>
          <cell r="B925" t="str">
            <v>ZONE SWITCH RECEIVABLE GL</v>
          </cell>
          <cell r="C925">
            <v>0</v>
          </cell>
          <cell r="D925">
            <v>0</v>
          </cell>
          <cell r="E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</row>
        <row r="926">
          <cell r="A926">
            <v>150060042</v>
          </cell>
          <cell r="B926" t="str">
            <v>LOAN ON MEMO A/C</v>
          </cell>
          <cell r="C926">
            <v>0</v>
          </cell>
          <cell r="D926">
            <v>0</v>
          </cell>
          <cell r="E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</row>
        <row r="927">
          <cell r="A927">
            <v>150060043</v>
          </cell>
          <cell r="B927" t="str">
            <v>POLARIS STF SHARE TRUST FUND (LO</v>
          </cell>
          <cell r="C927">
            <v>0</v>
          </cell>
          <cell r="D927">
            <v>0</v>
          </cell>
          <cell r="E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</row>
        <row r="928">
          <cell r="A928">
            <v>150060044</v>
          </cell>
          <cell r="B928" t="str">
            <v>POLARIS STAFF SHARE LOAN ACCOUNT</v>
          </cell>
          <cell r="C928">
            <v>0</v>
          </cell>
          <cell r="D928">
            <v>0</v>
          </cell>
          <cell r="E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</row>
        <row r="929">
          <cell r="A929" t="str">
            <v>_x0012_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</row>
        <row r="930"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</row>
        <row r="931">
          <cell r="C931" t="str">
            <v>Polaris Bank Limited, N</v>
          </cell>
          <cell r="D931" t="str">
            <v>igeria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</row>
        <row r="932">
          <cell r="C932" t="str">
            <v>** Consolidated Balance Shee</v>
          </cell>
          <cell r="D932" t="str">
            <v>t CBN **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</row>
        <row r="933"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</row>
        <row r="934">
          <cell r="C934" t="str">
            <v>As on :     31-OCT-2025</v>
          </cell>
          <cell r="E934" t="str">
            <v>Page   :   17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</row>
        <row r="935"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</row>
        <row r="936">
          <cell r="A936" t="str">
            <v>User Id :</v>
          </cell>
          <cell r="B936" t="str">
            <v>SYSTEM</v>
          </cell>
          <cell r="C936" t="str">
            <v>Date 1 Time :     01-NOV-2025</v>
          </cell>
          <cell r="D936">
            <v>0.21625000000000003</v>
          </cell>
          <cell r="E936" t="str">
            <v>Module :   GL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</row>
        <row r="937">
          <cell r="A937" t="str">
            <v>----------</v>
          </cell>
          <cell r="B937" t="str">
            <v>----------------------------------------</v>
          </cell>
          <cell r="C937" t="str">
            <v>------------------------------</v>
          </cell>
          <cell r="D937" t="str">
            <v>------------------------------</v>
          </cell>
          <cell r="E937" t="str">
            <v>----------------------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</row>
        <row r="938">
          <cell r="A938" t="str">
            <v>GL Code</v>
          </cell>
          <cell r="B938" t="str">
            <v>Description</v>
          </cell>
          <cell r="C938" t="str">
            <v>LCY Amount</v>
          </cell>
          <cell r="D938" t="str">
            <v>FCY Amount (Lcy Eq)</v>
          </cell>
          <cell r="E938" t="str">
            <v>Total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</row>
        <row r="939"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</row>
        <row r="940">
          <cell r="A940" t="str">
            <v>----------</v>
          </cell>
          <cell r="B940" t="str">
            <v>----------------------------------------</v>
          </cell>
          <cell r="C940" t="str">
            <v>------------------------------</v>
          </cell>
          <cell r="D940" t="str">
            <v>------------------------------</v>
          </cell>
          <cell r="E940" t="str">
            <v>----------------------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</row>
        <row r="941">
          <cell r="A941" t="str">
            <v>Asset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</row>
        <row r="942"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</row>
        <row r="943">
          <cell r="A943">
            <v>150060045</v>
          </cell>
          <cell r="B943" t="str">
            <v>POLARIS POSITION FACILITY SUSPEN</v>
          </cell>
          <cell r="C943">
            <v>0</v>
          </cell>
          <cell r="D943">
            <v>0</v>
          </cell>
          <cell r="E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</row>
        <row r="944">
          <cell r="A944">
            <v>150070001</v>
          </cell>
          <cell r="B944" t="str">
            <v>RIGHT OF USE ASSETS</v>
          </cell>
          <cell r="C944">
            <v>2668274536.3600001</v>
          </cell>
          <cell r="D944">
            <v>0</v>
          </cell>
          <cell r="E944">
            <v>2668274536.3600001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2668274536.3600001</v>
          </cell>
          <cell r="T944">
            <v>2668274536.3600001</v>
          </cell>
        </row>
        <row r="945">
          <cell r="A945">
            <v>170010000</v>
          </cell>
          <cell r="B945" t="str">
            <v>INFORMATION TECH SOFTWARES</v>
          </cell>
          <cell r="C945">
            <v>19910059580.279999</v>
          </cell>
          <cell r="D945">
            <v>0</v>
          </cell>
          <cell r="E945">
            <v>19910059580.279999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19910059580.279999</v>
          </cell>
          <cell r="T945">
            <v>19910059580.279999</v>
          </cell>
        </row>
        <row r="946">
          <cell r="A946">
            <v>170010001</v>
          </cell>
          <cell r="B946" t="str">
            <v>INFOR TECH SOFTWARE SUSPENSE</v>
          </cell>
          <cell r="C946">
            <v>2368798126.77</v>
          </cell>
          <cell r="D946">
            <v>0</v>
          </cell>
          <cell r="E946">
            <v>2368798126.77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2368798126.77</v>
          </cell>
          <cell r="T946">
            <v>2368798126.77</v>
          </cell>
        </row>
        <row r="947">
          <cell r="A947">
            <v>170020000</v>
          </cell>
          <cell r="B947" t="str">
            <v>GOODWILL</v>
          </cell>
          <cell r="C947">
            <v>0</v>
          </cell>
          <cell r="D947">
            <v>0</v>
          </cell>
          <cell r="E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</row>
        <row r="948">
          <cell r="A948">
            <v>180008001</v>
          </cell>
          <cell r="B948" t="str">
            <v>PRE-OPENING-AKURE</v>
          </cell>
          <cell r="C948">
            <v>0</v>
          </cell>
          <cell r="D948">
            <v>0</v>
          </cell>
          <cell r="E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</row>
        <row r="949">
          <cell r="A949">
            <v>180008002</v>
          </cell>
          <cell r="B949" t="str">
            <v>PRE-OPENING - APAPA II</v>
          </cell>
          <cell r="C949">
            <v>12231016</v>
          </cell>
          <cell r="D949">
            <v>0</v>
          </cell>
          <cell r="E949">
            <v>12231016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12231016</v>
          </cell>
          <cell r="T949">
            <v>12231016</v>
          </cell>
        </row>
        <row r="950">
          <cell r="A950">
            <v>180008003</v>
          </cell>
          <cell r="B950" t="str">
            <v>PRE-OPENING-KAYODE STREET, OGBA</v>
          </cell>
          <cell r="C950">
            <v>105483745</v>
          </cell>
          <cell r="D950">
            <v>0</v>
          </cell>
          <cell r="E950">
            <v>105483745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105483745</v>
          </cell>
          <cell r="T950">
            <v>105483745</v>
          </cell>
        </row>
        <row r="951">
          <cell r="A951">
            <v>180008004</v>
          </cell>
          <cell r="B951" t="str">
            <v>PRE-OPENING OBALENDE</v>
          </cell>
          <cell r="C951">
            <v>0</v>
          </cell>
          <cell r="D951">
            <v>0</v>
          </cell>
          <cell r="E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</row>
        <row r="952">
          <cell r="A952">
            <v>180008005</v>
          </cell>
          <cell r="B952" t="str">
            <v>PRE-OPENNING-ABULE EGBA</v>
          </cell>
          <cell r="C952">
            <v>15000000</v>
          </cell>
          <cell r="D952">
            <v>0</v>
          </cell>
          <cell r="E952">
            <v>15000000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15000000</v>
          </cell>
          <cell r="T952">
            <v>15000000</v>
          </cell>
        </row>
        <row r="953">
          <cell r="A953">
            <v>180008006</v>
          </cell>
          <cell r="B953" t="str">
            <v>PRE-OPENING-ALAGBADO BRANCH</v>
          </cell>
          <cell r="C953">
            <v>7254500</v>
          </cell>
          <cell r="D953">
            <v>0</v>
          </cell>
          <cell r="E953">
            <v>7254500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7254500</v>
          </cell>
          <cell r="T953">
            <v>7254500</v>
          </cell>
        </row>
        <row r="954">
          <cell r="A954">
            <v>180008007</v>
          </cell>
          <cell r="B954" t="str">
            <v>PRE-OPENING-OKOKOMAIKO BRANCH</v>
          </cell>
          <cell r="C954">
            <v>35204185</v>
          </cell>
          <cell r="D954">
            <v>0</v>
          </cell>
          <cell r="E954">
            <v>35204185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35204185</v>
          </cell>
          <cell r="T954">
            <v>35204185</v>
          </cell>
        </row>
        <row r="955">
          <cell r="A955">
            <v>180008008</v>
          </cell>
          <cell r="B955" t="str">
            <v>PRE-OPEN-ACME ROAD OGBA BRANCH</v>
          </cell>
          <cell r="C955">
            <v>0</v>
          </cell>
          <cell r="D955">
            <v>0</v>
          </cell>
          <cell r="E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</row>
        <row r="956">
          <cell r="A956">
            <v>180008009</v>
          </cell>
          <cell r="B956" t="str">
            <v>PRE-OPENING-OLODI APAPA EXPRESSW</v>
          </cell>
          <cell r="C956">
            <v>0</v>
          </cell>
          <cell r="D956">
            <v>0</v>
          </cell>
          <cell r="E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</row>
        <row r="957">
          <cell r="A957">
            <v>180008010</v>
          </cell>
          <cell r="B957" t="str">
            <v>PRE-OPEN-IDIMU ROUNDABOUT BRANCH</v>
          </cell>
          <cell r="C957">
            <v>0</v>
          </cell>
          <cell r="D957">
            <v>0</v>
          </cell>
          <cell r="E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</row>
        <row r="958">
          <cell r="A958">
            <v>180008011</v>
          </cell>
          <cell r="B958" t="str">
            <v>PRE-OPEN-IKEJA GRA BRANCH</v>
          </cell>
          <cell r="C958">
            <v>0</v>
          </cell>
          <cell r="D958">
            <v>0</v>
          </cell>
          <cell r="E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</row>
        <row r="959">
          <cell r="A959">
            <v>180008012</v>
          </cell>
          <cell r="B959" t="str">
            <v>PRE-OPEN-BRASS BRANCH</v>
          </cell>
          <cell r="C959">
            <v>27931666.670000002</v>
          </cell>
          <cell r="D959">
            <v>0</v>
          </cell>
          <cell r="E959">
            <v>27931666.670000002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27931666.670000002</v>
          </cell>
          <cell r="T959">
            <v>27931666.670000002</v>
          </cell>
        </row>
        <row r="960">
          <cell r="A960">
            <v>180008013</v>
          </cell>
          <cell r="B960" t="str">
            <v>PRE-OPEN-EKET BRANCH</v>
          </cell>
          <cell r="C960">
            <v>28553050</v>
          </cell>
          <cell r="D960">
            <v>0</v>
          </cell>
          <cell r="E960">
            <v>28553050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28553050</v>
          </cell>
          <cell r="T960">
            <v>28553050</v>
          </cell>
        </row>
        <row r="961">
          <cell r="A961">
            <v>180008014</v>
          </cell>
          <cell r="B961" t="str">
            <v>PRE-OPEN-SAPELE DELTA BRANCH</v>
          </cell>
          <cell r="C961">
            <v>109122447.51000001</v>
          </cell>
          <cell r="D961">
            <v>0</v>
          </cell>
          <cell r="E961">
            <v>109122447.51000001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109122447.51000001</v>
          </cell>
          <cell r="T961">
            <v>109122447.51000001</v>
          </cell>
        </row>
        <row r="962">
          <cell r="A962">
            <v>180008015</v>
          </cell>
          <cell r="B962" t="str">
            <v>PRE OPEN-UGHELLI, DELTA STATE</v>
          </cell>
          <cell r="C962">
            <v>109452729.2</v>
          </cell>
          <cell r="D962">
            <v>0</v>
          </cell>
          <cell r="E962">
            <v>109452729.2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109452729.2</v>
          </cell>
          <cell r="T962">
            <v>109452729.2</v>
          </cell>
        </row>
        <row r="963">
          <cell r="A963">
            <v>180008016</v>
          </cell>
          <cell r="B963" t="str">
            <v>PRE OPEN-SULEJA/ZUBA/MANDALA,ABU</v>
          </cell>
          <cell r="C963">
            <v>0</v>
          </cell>
          <cell r="D963">
            <v>0</v>
          </cell>
          <cell r="E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</row>
        <row r="964">
          <cell r="A964">
            <v>180008017</v>
          </cell>
          <cell r="B964" t="str">
            <v>PRE OPEN-AGEGE MOTOR RD,MUSHIN</v>
          </cell>
          <cell r="C964">
            <v>25318083.329999998</v>
          </cell>
          <cell r="D964">
            <v>0</v>
          </cell>
          <cell r="E964">
            <v>25318083.329999998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25318083.329999998</v>
          </cell>
          <cell r="T964">
            <v>25318083.329999998</v>
          </cell>
        </row>
        <row r="965">
          <cell r="A965">
            <v>180008018</v>
          </cell>
          <cell r="B965" t="str">
            <v>PRE OPEN-OGOJA CROSS RIVER</v>
          </cell>
          <cell r="C965">
            <v>87713797.629999995</v>
          </cell>
          <cell r="D965">
            <v>0</v>
          </cell>
          <cell r="E965">
            <v>87713797.629999995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87713797.629999995</v>
          </cell>
          <cell r="T965">
            <v>87713797.629999995</v>
          </cell>
        </row>
        <row r="966">
          <cell r="A966">
            <v>180008019</v>
          </cell>
          <cell r="B966" t="str">
            <v>PRE OPEN-IKOM CROSS RIVER</v>
          </cell>
          <cell r="C966">
            <v>27300000</v>
          </cell>
          <cell r="D966">
            <v>0</v>
          </cell>
          <cell r="E966">
            <v>27300000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27300000</v>
          </cell>
          <cell r="T966">
            <v>27300000</v>
          </cell>
        </row>
        <row r="967">
          <cell r="A967">
            <v>180008020</v>
          </cell>
          <cell r="B967" t="str">
            <v>PRE OPEN-FESTAC 2 BRANCH</v>
          </cell>
          <cell r="C967">
            <v>0</v>
          </cell>
          <cell r="D967">
            <v>0</v>
          </cell>
          <cell r="E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</row>
        <row r="968">
          <cell r="A968">
            <v>180008021</v>
          </cell>
          <cell r="B968" t="str">
            <v>PRE OPEN-PEDRO GBAGADA BRANCH</v>
          </cell>
          <cell r="C968">
            <v>0</v>
          </cell>
          <cell r="D968">
            <v>0</v>
          </cell>
          <cell r="E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</row>
        <row r="969">
          <cell r="A969">
            <v>180008022</v>
          </cell>
          <cell r="B969" t="str">
            <v>PRE OPEN-KADO ESTATE,ABUJA BRANC</v>
          </cell>
          <cell r="C969">
            <v>48404166.670000002</v>
          </cell>
          <cell r="D969">
            <v>0</v>
          </cell>
          <cell r="E969">
            <v>48404166.670000002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48404166.670000002</v>
          </cell>
          <cell r="T969">
            <v>48404166.670000002</v>
          </cell>
        </row>
        <row r="970">
          <cell r="A970">
            <v>180008023</v>
          </cell>
          <cell r="B970" t="str">
            <v>PRE OPEN-OBA AKRAN AVENUE IKEJA</v>
          </cell>
          <cell r="C970">
            <v>0</v>
          </cell>
          <cell r="D970">
            <v>0</v>
          </cell>
          <cell r="E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</row>
        <row r="971">
          <cell r="A971">
            <v>180008024</v>
          </cell>
          <cell r="B971" t="str">
            <v>PRE OPEN-VGC,LEKKI,LAGOS STATE</v>
          </cell>
          <cell r="C971">
            <v>0</v>
          </cell>
          <cell r="D971">
            <v>0</v>
          </cell>
          <cell r="E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</row>
        <row r="972">
          <cell r="A972">
            <v>180008025</v>
          </cell>
          <cell r="B972" t="str">
            <v>PRE-OPEN-OKENE, KOGI STATE</v>
          </cell>
          <cell r="C972">
            <v>18635000</v>
          </cell>
          <cell r="D972">
            <v>0</v>
          </cell>
          <cell r="E972">
            <v>18635000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18635000</v>
          </cell>
          <cell r="T972">
            <v>18635000</v>
          </cell>
        </row>
        <row r="973">
          <cell r="A973">
            <v>180008026</v>
          </cell>
          <cell r="B973" t="str">
            <v>PRE-OPEN-KAFANCHAN</v>
          </cell>
          <cell r="C973">
            <v>18360000</v>
          </cell>
          <cell r="D973">
            <v>0</v>
          </cell>
          <cell r="E973">
            <v>18360000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18360000</v>
          </cell>
          <cell r="T973">
            <v>18360000</v>
          </cell>
        </row>
        <row r="974">
          <cell r="A974">
            <v>180008027</v>
          </cell>
          <cell r="B974" t="str">
            <v>PRE-OPEN-KEFFI, NIGER STATE</v>
          </cell>
          <cell r="C974">
            <v>14060000</v>
          </cell>
          <cell r="D974">
            <v>0</v>
          </cell>
          <cell r="E974">
            <v>14060000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14060000</v>
          </cell>
          <cell r="T974">
            <v>14060000</v>
          </cell>
        </row>
        <row r="975">
          <cell r="A975">
            <v>180008028</v>
          </cell>
          <cell r="B975" t="str">
            <v>PRE-OPEN-OTURKPO, BENUE STATE</v>
          </cell>
          <cell r="C975">
            <v>0</v>
          </cell>
          <cell r="D975">
            <v>0</v>
          </cell>
          <cell r="E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</row>
        <row r="976">
          <cell r="A976">
            <v>180008030</v>
          </cell>
          <cell r="B976" t="str">
            <v>PRE-OPEN-AYINGBA,KOGI STATE</v>
          </cell>
          <cell r="C976">
            <v>18133333.329999998</v>
          </cell>
          <cell r="D976">
            <v>0</v>
          </cell>
          <cell r="E976">
            <v>18133333.329999998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18133333.329999998</v>
          </cell>
          <cell r="T976">
            <v>18133333.329999998</v>
          </cell>
        </row>
        <row r="977">
          <cell r="A977">
            <v>180008031</v>
          </cell>
          <cell r="B977" t="str">
            <v>PRE-OPEN-KABBA,KOGI STATE</v>
          </cell>
          <cell r="C977">
            <v>11500000</v>
          </cell>
          <cell r="D977">
            <v>0</v>
          </cell>
          <cell r="E977">
            <v>11500000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11500000</v>
          </cell>
          <cell r="T977">
            <v>11500000</v>
          </cell>
        </row>
        <row r="978">
          <cell r="A978">
            <v>180008032</v>
          </cell>
          <cell r="B978" t="str">
            <v>PRE-OPEN-GBOKO BENUE STATE</v>
          </cell>
          <cell r="C978">
            <v>19613333.329999998</v>
          </cell>
          <cell r="D978">
            <v>0</v>
          </cell>
          <cell r="E978">
            <v>19613333.329999998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19613333.329999998</v>
          </cell>
          <cell r="T978">
            <v>19613333.329999998</v>
          </cell>
        </row>
        <row r="979">
          <cell r="A979">
            <v>180008033</v>
          </cell>
          <cell r="B979" t="str">
            <v>PRE-OPEN-GUDU DISTRICT,ABUJA</v>
          </cell>
          <cell r="C979">
            <v>12285000</v>
          </cell>
          <cell r="D979">
            <v>0</v>
          </cell>
          <cell r="E979">
            <v>12285000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12285000</v>
          </cell>
          <cell r="T979">
            <v>12285000</v>
          </cell>
        </row>
        <row r="980">
          <cell r="A980">
            <v>180008034</v>
          </cell>
          <cell r="B980" t="str">
            <v>PRE-OPEN-UTAKO/JABI DISTRICT,ABU</v>
          </cell>
          <cell r="C980">
            <v>182755107.72999999</v>
          </cell>
          <cell r="D980">
            <v>0</v>
          </cell>
          <cell r="E980">
            <v>182755107.72999999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182755107.72999999</v>
          </cell>
          <cell r="T980">
            <v>182755107.72999999</v>
          </cell>
        </row>
        <row r="981">
          <cell r="A981">
            <v>180008035</v>
          </cell>
          <cell r="B981" t="str">
            <v>PRE-OPEN-INDUSTRY RD,UMUAHIA,ABI</v>
          </cell>
          <cell r="C981">
            <v>46022550</v>
          </cell>
          <cell r="D981">
            <v>0</v>
          </cell>
          <cell r="E981">
            <v>46022550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46022550</v>
          </cell>
          <cell r="T981">
            <v>46022550</v>
          </cell>
        </row>
        <row r="982">
          <cell r="A982">
            <v>180008036</v>
          </cell>
          <cell r="B982" t="str">
            <v>PRE-OPEN-TRANS EKULU,ENUGU STATE</v>
          </cell>
          <cell r="C982">
            <v>92958279.709999993</v>
          </cell>
          <cell r="D982">
            <v>0</v>
          </cell>
          <cell r="E982">
            <v>92958279.709999993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92958279.709999993</v>
          </cell>
          <cell r="T982">
            <v>92958279.709999993</v>
          </cell>
        </row>
        <row r="983">
          <cell r="A983">
            <v>180008037</v>
          </cell>
          <cell r="B983" t="str">
            <v>PRE-OPEN-HERBERT MACAULAY,YABA</v>
          </cell>
          <cell r="C983">
            <v>6875000</v>
          </cell>
          <cell r="D983">
            <v>0</v>
          </cell>
          <cell r="E983">
            <v>6875000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6875000</v>
          </cell>
          <cell r="T983">
            <v>6875000</v>
          </cell>
        </row>
        <row r="984">
          <cell r="A984">
            <v>180008038</v>
          </cell>
          <cell r="B984" t="str">
            <v>PRE-OPEN-DEI DEI MKT,ABUJA</v>
          </cell>
          <cell r="C984">
            <v>81512401.5</v>
          </cell>
          <cell r="D984">
            <v>0</v>
          </cell>
          <cell r="E984">
            <v>81512401.5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81512401.5</v>
          </cell>
          <cell r="T984">
            <v>81512401.5</v>
          </cell>
        </row>
        <row r="985">
          <cell r="A985">
            <v>180008039</v>
          </cell>
          <cell r="B985" t="str">
            <v>PRE-OPEN-KUJE DISTRICT,ABUJA</v>
          </cell>
          <cell r="C985">
            <v>0</v>
          </cell>
          <cell r="D985">
            <v>0</v>
          </cell>
          <cell r="E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</row>
        <row r="986">
          <cell r="A986">
            <v>180008040</v>
          </cell>
          <cell r="B986" t="str">
            <v>PRE-OPEN-COMMERCE PLAZA,ABUJA</v>
          </cell>
          <cell r="C986">
            <v>0</v>
          </cell>
          <cell r="D986">
            <v>0</v>
          </cell>
          <cell r="E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</row>
        <row r="987">
          <cell r="A987" t="str">
            <v>_x0012_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</row>
        <row r="988"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</row>
        <row r="989">
          <cell r="C989" t="str">
            <v>Polaris Bank Limited, N</v>
          </cell>
          <cell r="D989" t="str">
            <v>igeria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</row>
        <row r="990">
          <cell r="C990" t="str">
            <v>** Consolidated Balance Shee</v>
          </cell>
          <cell r="D990" t="str">
            <v>t CBN **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</row>
        <row r="991"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</row>
        <row r="992">
          <cell r="C992" t="str">
            <v>As on :     31-OCT-2025</v>
          </cell>
          <cell r="E992" t="str">
            <v>Page   :   18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</row>
        <row r="993"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</row>
        <row r="994">
          <cell r="A994" t="str">
            <v>User Id :</v>
          </cell>
          <cell r="B994" t="str">
            <v>SYSTEM</v>
          </cell>
          <cell r="C994" t="str">
            <v>Date 1 Time :     01-NOV-2025</v>
          </cell>
          <cell r="D994">
            <v>0.21625000000000003</v>
          </cell>
          <cell r="E994" t="str">
            <v>Module :   GL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</row>
        <row r="995">
          <cell r="A995" t="str">
            <v>----------</v>
          </cell>
          <cell r="B995" t="str">
            <v>----------------------------------------</v>
          </cell>
          <cell r="C995" t="str">
            <v>------------------------------</v>
          </cell>
          <cell r="D995" t="str">
            <v>------------------------------</v>
          </cell>
          <cell r="E995" t="str">
            <v>----------------------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</row>
        <row r="996">
          <cell r="A996" t="str">
            <v>GL Code</v>
          </cell>
          <cell r="B996" t="str">
            <v>Description</v>
          </cell>
          <cell r="C996" t="str">
            <v>LCY Amount</v>
          </cell>
          <cell r="D996" t="str">
            <v>FCY Amount (Lcy Eq)</v>
          </cell>
          <cell r="E996" t="str">
            <v>Total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</row>
        <row r="997"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</row>
        <row r="998">
          <cell r="A998" t="str">
            <v>----------</v>
          </cell>
          <cell r="B998" t="str">
            <v>----------------------------------------</v>
          </cell>
          <cell r="C998" t="str">
            <v>------------------------------</v>
          </cell>
          <cell r="D998" t="str">
            <v>------------------------------</v>
          </cell>
          <cell r="E998" t="str">
            <v>----------------------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</row>
        <row r="999">
          <cell r="A999" t="str">
            <v>Asset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</row>
        <row r="1000"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</row>
        <row r="1001">
          <cell r="A1001">
            <v>180008041</v>
          </cell>
          <cell r="B1001" t="str">
            <v>PRE-OPEN-PARKLANE,GRA,APAPA</v>
          </cell>
          <cell r="C1001">
            <v>55765140.890000001</v>
          </cell>
          <cell r="D1001">
            <v>0</v>
          </cell>
          <cell r="E1001">
            <v>55765140.890000001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55765140.890000001</v>
          </cell>
          <cell r="T1001">
            <v>55765140.890000001</v>
          </cell>
        </row>
        <row r="1002">
          <cell r="A1002">
            <v>180008042</v>
          </cell>
          <cell r="B1002" t="str">
            <v>PRE-OPEN-DOPEMU RD OFF IPAJA RD</v>
          </cell>
          <cell r="C1002">
            <v>0</v>
          </cell>
          <cell r="D1002">
            <v>0</v>
          </cell>
          <cell r="E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</row>
        <row r="1003">
          <cell r="A1003">
            <v>180008043</v>
          </cell>
          <cell r="B1003" t="str">
            <v>PRE-OPEN LUGBE ESTATE ABUJA</v>
          </cell>
          <cell r="C1003">
            <v>19020502.260000002</v>
          </cell>
          <cell r="D1003">
            <v>0</v>
          </cell>
          <cell r="E1003">
            <v>19020502.260000002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19020502.260000002</v>
          </cell>
          <cell r="T1003">
            <v>19020502.260000002</v>
          </cell>
        </row>
        <row r="1004">
          <cell r="A1004">
            <v>180008044</v>
          </cell>
          <cell r="B1004" t="str">
            <v>PRE OPEN. GARKI AREA 11 BRANCH</v>
          </cell>
          <cell r="C1004">
            <v>0</v>
          </cell>
          <cell r="D1004">
            <v>0</v>
          </cell>
          <cell r="E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</row>
        <row r="1005">
          <cell r="A1005">
            <v>180008045</v>
          </cell>
          <cell r="B1005" t="str">
            <v>PRE OPEN-OSUN CRESCENT,MAITAMA A</v>
          </cell>
          <cell r="C1005">
            <v>0</v>
          </cell>
          <cell r="D1005">
            <v>0</v>
          </cell>
          <cell r="E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</row>
        <row r="1006">
          <cell r="A1006">
            <v>180008046</v>
          </cell>
          <cell r="B1006" t="str">
            <v>PRE OPEN.-APATA IBADAN OYO STATE</v>
          </cell>
          <cell r="C1006">
            <v>105111889.40000001</v>
          </cell>
          <cell r="D1006">
            <v>0</v>
          </cell>
          <cell r="E1006">
            <v>105111889.40000001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105111889.40000001</v>
          </cell>
          <cell r="T1006">
            <v>105111889.40000001</v>
          </cell>
        </row>
        <row r="1007">
          <cell r="A1007">
            <v>180008047</v>
          </cell>
          <cell r="B1007" t="str">
            <v>PRE OPEN-AMINU KANO CRST,WUSE11,</v>
          </cell>
          <cell r="C1007">
            <v>0</v>
          </cell>
          <cell r="D1007">
            <v>0</v>
          </cell>
          <cell r="E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</row>
        <row r="1008">
          <cell r="A1008">
            <v>180008048</v>
          </cell>
          <cell r="B1008" t="str">
            <v>PRE OPEN-ZUBA BRANCH, ABUJA</v>
          </cell>
          <cell r="C1008">
            <v>53958666.670000002</v>
          </cell>
          <cell r="D1008">
            <v>0</v>
          </cell>
          <cell r="E1008">
            <v>53958666.670000002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53958666.670000002</v>
          </cell>
          <cell r="T1008">
            <v>53958666.670000002</v>
          </cell>
        </row>
        <row r="1009">
          <cell r="A1009">
            <v>180008049</v>
          </cell>
          <cell r="B1009" t="str">
            <v>PRE OPEN-ABULOMA,RIVERS STATE</v>
          </cell>
          <cell r="C1009">
            <v>0</v>
          </cell>
          <cell r="D1009">
            <v>0</v>
          </cell>
          <cell r="E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</row>
        <row r="1010">
          <cell r="A1010">
            <v>180008050</v>
          </cell>
          <cell r="B1010" t="str">
            <v>PRE OPEN-UROMI, EDO STATE</v>
          </cell>
          <cell r="C1010">
            <v>0</v>
          </cell>
          <cell r="D1010">
            <v>0</v>
          </cell>
          <cell r="E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</row>
        <row r="1011">
          <cell r="A1011">
            <v>180008051</v>
          </cell>
          <cell r="B1011" t="str">
            <v>PRE OPEN-MAWZINI STR,WUSE1,ABUJA</v>
          </cell>
          <cell r="C1011">
            <v>165000000</v>
          </cell>
          <cell r="D1011">
            <v>0</v>
          </cell>
          <cell r="E1011">
            <v>165000000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165000000</v>
          </cell>
          <cell r="T1011">
            <v>165000000</v>
          </cell>
        </row>
        <row r="1012">
          <cell r="A1012">
            <v>180008052</v>
          </cell>
          <cell r="B1012" t="str">
            <v>PRE OPEN-BLUECORD COMPLEX,WUSE,A</v>
          </cell>
          <cell r="C1012">
            <v>5969925</v>
          </cell>
          <cell r="D1012">
            <v>0</v>
          </cell>
          <cell r="E1012">
            <v>5969925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5969925</v>
          </cell>
          <cell r="T1012">
            <v>5969925</v>
          </cell>
        </row>
        <row r="1013">
          <cell r="A1013">
            <v>180008053</v>
          </cell>
          <cell r="B1013" t="str">
            <v>PRE OPEN-BOJI BOJI OWA AGBOR,DEL</v>
          </cell>
          <cell r="C1013">
            <v>0</v>
          </cell>
          <cell r="D1013">
            <v>0</v>
          </cell>
          <cell r="E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</row>
        <row r="1014">
          <cell r="A1014">
            <v>180008054</v>
          </cell>
          <cell r="B1014" t="str">
            <v>PRE OPEN-EKPOMA, EDO STATE</v>
          </cell>
          <cell r="C1014">
            <v>0</v>
          </cell>
          <cell r="D1014">
            <v>0</v>
          </cell>
          <cell r="E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</row>
        <row r="1015">
          <cell r="A1015">
            <v>180008055</v>
          </cell>
          <cell r="B1015" t="str">
            <v>PRE OPEN- MAI GARI, GUMEL, JIGAW</v>
          </cell>
          <cell r="C1015">
            <v>0</v>
          </cell>
          <cell r="D1015">
            <v>0</v>
          </cell>
          <cell r="E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</row>
        <row r="1016">
          <cell r="A1016">
            <v>180008056</v>
          </cell>
          <cell r="B1016" t="str">
            <v>PRE OPEN-ISAH DASO,NUMAN,ADAMAWA</v>
          </cell>
          <cell r="C1016">
            <v>16253430</v>
          </cell>
          <cell r="D1016">
            <v>0</v>
          </cell>
          <cell r="E1016">
            <v>16253430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16253430</v>
          </cell>
          <cell r="T1016">
            <v>16253430</v>
          </cell>
        </row>
        <row r="1017">
          <cell r="A1017">
            <v>180008057</v>
          </cell>
          <cell r="B1017" t="str">
            <v>PRE OPEN-SALV. ARMY RD,EKOTEDO,</v>
          </cell>
          <cell r="C1017">
            <v>0</v>
          </cell>
          <cell r="D1017">
            <v>0</v>
          </cell>
          <cell r="E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</row>
        <row r="1018">
          <cell r="A1018">
            <v>180008058</v>
          </cell>
          <cell r="B1018" t="str">
            <v>PRE-OPENING -IDDO EBUTE METTA</v>
          </cell>
          <cell r="C1018">
            <v>58091509.170000002</v>
          </cell>
          <cell r="D1018">
            <v>0</v>
          </cell>
          <cell r="E1018">
            <v>58091509.170000002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58091509.170000002</v>
          </cell>
          <cell r="T1018">
            <v>58091509.170000002</v>
          </cell>
        </row>
        <row r="1019">
          <cell r="A1019">
            <v>180008059</v>
          </cell>
          <cell r="B1019" t="str">
            <v>PRE-OPENING - CHOBA PORT HARCOUR</v>
          </cell>
          <cell r="C1019">
            <v>0</v>
          </cell>
          <cell r="D1019">
            <v>0</v>
          </cell>
          <cell r="E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</row>
        <row r="1020">
          <cell r="A1020">
            <v>180008060</v>
          </cell>
          <cell r="B1020" t="str">
            <v>PRE-OPENING -FUNTUA KATSINA STAT</v>
          </cell>
          <cell r="C1020">
            <v>0</v>
          </cell>
          <cell r="D1020">
            <v>0</v>
          </cell>
          <cell r="E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</row>
        <row r="1021">
          <cell r="A1021">
            <v>180008061</v>
          </cell>
          <cell r="B1021" t="str">
            <v>PRE OPENING -TAIWO STREET, ILORI</v>
          </cell>
          <cell r="C1021">
            <v>11485633.33</v>
          </cell>
          <cell r="D1021">
            <v>0</v>
          </cell>
          <cell r="E1021">
            <v>11485633.33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11485633.33</v>
          </cell>
          <cell r="T1021">
            <v>11485633.33</v>
          </cell>
        </row>
        <row r="1022">
          <cell r="A1022">
            <v>180008062</v>
          </cell>
          <cell r="B1022" t="str">
            <v>PRE OPENING -TANKE  UNILORIN RD</v>
          </cell>
          <cell r="C1022">
            <v>0</v>
          </cell>
          <cell r="D1022">
            <v>0</v>
          </cell>
          <cell r="E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</row>
        <row r="1023">
          <cell r="A1023">
            <v>180008063</v>
          </cell>
          <cell r="B1023" t="str">
            <v>PRE OPEN - AKWANGA NASARAWA STAT</v>
          </cell>
          <cell r="C1023">
            <v>23050000</v>
          </cell>
          <cell r="D1023">
            <v>0</v>
          </cell>
          <cell r="E1023">
            <v>23050000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23050000</v>
          </cell>
          <cell r="T1023">
            <v>23050000</v>
          </cell>
        </row>
        <row r="1024">
          <cell r="A1024">
            <v>180008064</v>
          </cell>
          <cell r="B1024" t="str">
            <v>PRE OPEN - BIDA NIGER STATE</v>
          </cell>
          <cell r="C1024">
            <v>54644935.5</v>
          </cell>
          <cell r="D1024">
            <v>0</v>
          </cell>
          <cell r="E1024">
            <v>54644935.5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54644935.5</v>
          </cell>
          <cell r="T1024">
            <v>54644935.5</v>
          </cell>
        </row>
        <row r="1025">
          <cell r="A1025">
            <v>180008065</v>
          </cell>
          <cell r="B1025" t="str">
            <v>PRE OPEN - MANDALA, NIGER STATE</v>
          </cell>
          <cell r="C1025">
            <v>13127500</v>
          </cell>
          <cell r="D1025">
            <v>0</v>
          </cell>
          <cell r="E1025">
            <v>13127500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13127500</v>
          </cell>
          <cell r="T1025">
            <v>13127500</v>
          </cell>
        </row>
        <row r="1026">
          <cell r="A1026">
            <v>180008066</v>
          </cell>
          <cell r="B1026" t="str">
            <v>PRE OPEN - WUKARI TARABA STATE</v>
          </cell>
          <cell r="C1026">
            <v>21034000</v>
          </cell>
          <cell r="D1026">
            <v>0</v>
          </cell>
          <cell r="E1026">
            <v>21034000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21034000</v>
          </cell>
          <cell r="T1026">
            <v>21034000</v>
          </cell>
        </row>
        <row r="1027">
          <cell r="A1027">
            <v>180008067</v>
          </cell>
          <cell r="B1027" t="str">
            <v>PRE OPEN - ZAKIBIA, BENUE STATE</v>
          </cell>
          <cell r="C1027">
            <v>14230000</v>
          </cell>
          <cell r="D1027">
            <v>0</v>
          </cell>
          <cell r="E1027">
            <v>14230000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14230000</v>
          </cell>
          <cell r="T1027">
            <v>14230000</v>
          </cell>
        </row>
        <row r="1028">
          <cell r="A1028">
            <v>180008068</v>
          </cell>
          <cell r="B1028" t="str">
            <v>PRE-OPENING-GUDU DISTRICT ABJ</v>
          </cell>
          <cell r="C1028">
            <v>85000000</v>
          </cell>
          <cell r="D1028">
            <v>0</v>
          </cell>
          <cell r="E1028">
            <v>85000000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85000000</v>
          </cell>
          <cell r="T1028">
            <v>85000000</v>
          </cell>
        </row>
        <row r="1029">
          <cell r="A1029">
            <v>180008069</v>
          </cell>
          <cell r="B1029" t="str">
            <v>PRE-OPENING-UBIMA,IKWERRE LG,PH</v>
          </cell>
          <cell r="C1029">
            <v>99416482.950000003</v>
          </cell>
          <cell r="D1029">
            <v>0</v>
          </cell>
          <cell r="E1029">
            <v>99416482.950000003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99416482.950000003</v>
          </cell>
          <cell r="T1029">
            <v>99416482.950000003</v>
          </cell>
        </row>
        <row r="1030">
          <cell r="A1030">
            <v>180008070</v>
          </cell>
          <cell r="B1030" t="str">
            <v>PRE-OPEN-OKIGWE RD,OWERRI</v>
          </cell>
          <cell r="C1030">
            <v>171285009.19999999</v>
          </cell>
          <cell r="D1030">
            <v>0</v>
          </cell>
          <cell r="E1030">
            <v>171285009.19999999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171285009.19999999</v>
          </cell>
          <cell r="T1030">
            <v>171285009.19999999</v>
          </cell>
        </row>
        <row r="1031">
          <cell r="A1031">
            <v>180008071</v>
          </cell>
          <cell r="B1031" t="str">
            <v>PRE-OPEN-NAU JUNCT,AWKA-ENUGU EX</v>
          </cell>
          <cell r="C1031">
            <v>0</v>
          </cell>
          <cell r="D1031">
            <v>0</v>
          </cell>
          <cell r="E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</row>
        <row r="1032">
          <cell r="A1032">
            <v>180008072</v>
          </cell>
          <cell r="B1032" t="str">
            <v>PRE-OPEN-OBIGBO, RIVERS STATE</v>
          </cell>
          <cell r="C1032">
            <v>0</v>
          </cell>
          <cell r="D1032">
            <v>0</v>
          </cell>
          <cell r="E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</row>
        <row r="1033">
          <cell r="A1033">
            <v>180008073</v>
          </cell>
          <cell r="B1033" t="str">
            <v>PRE-OPEN-WUSE MARKET BRANCH</v>
          </cell>
          <cell r="C1033">
            <v>315000000</v>
          </cell>
          <cell r="D1033">
            <v>0</v>
          </cell>
          <cell r="E1033">
            <v>315000000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315000000</v>
          </cell>
          <cell r="T1033">
            <v>315000000</v>
          </cell>
        </row>
        <row r="1034">
          <cell r="A1034">
            <v>180008074</v>
          </cell>
          <cell r="B1034" t="str">
            <v>PRE-OPEN-NASARAWA TOWN BRANCH</v>
          </cell>
          <cell r="C1034">
            <v>0</v>
          </cell>
          <cell r="D1034">
            <v>0</v>
          </cell>
          <cell r="E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</row>
        <row r="1035">
          <cell r="A1035">
            <v>180008075</v>
          </cell>
          <cell r="B1035" t="str">
            <v>PRE-OPEN - IJU 2 BRANCH</v>
          </cell>
          <cell r="C1035">
            <v>0</v>
          </cell>
          <cell r="D1035">
            <v>0</v>
          </cell>
          <cell r="E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</row>
        <row r="1036">
          <cell r="A1036">
            <v>180008076</v>
          </cell>
          <cell r="B1036" t="str">
            <v>PRE-OPENING -AKOWONJO 2</v>
          </cell>
          <cell r="C1036">
            <v>0</v>
          </cell>
          <cell r="D1036">
            <v>0</v>
          </cell>
          <cell r="E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</row>
        <row r="1037">
          <cell r="A1037">
            <v>180008077</v>
          </cell>
          <cell r="B1037" t="str">
            <v>PRE-OPENING-OWERRI 2</v>
          </cell>
          <cell r="C1037">
            <v>213690274.91999999</v>
          </cell>
          <cell r="D1037">
            <v>0</v>
          </cell>
          <cell r="E1037">
            <v>213690274.91999999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213690274.91999999</v>
          </cell>
          <cell r="T1037">
            <v>213690274.91999999</v>
          </cell>
        </row>
        <row r="1038">
          <cell r="A1038">
            <v>180008079</v>
          </cell>
          <cell r="B1038" t="str">
            <v>PRE OPENING-UYO REGIONAL OFFICE</v>
          </cell>
          <cell r="C1038">
            <v>643500</v>
          </cell>
          <cell r="D1038">
            <v>0</v>
          </cell>
          <cell r="E1038">
            <v>643500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643500</v>
          </cell>
          <cell r="T1038">
            <v>643500</v>
          </cell>
        </row>
        <row r="1039">
          <cell r="A1039">
            <v>180008080</v>
          </cell>
          <cell r="B1039" t="str">
            <v>PRE OPENING- IJANIKIN CASH CENTR</v>
          </cell>
          <cell r="C1039">
            <v>32065732.420000002</v>
          </cell>
          <cell r="D1039">
            <v>0</v>
          </cell>
          <cell r="E1039">
            <v>32065732.420000002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32065732.420000002</v>
          </cell>
          <cell r="T1039">
            <v>32065732.420000002</v>
          </cell>
        </row>
        <row r="1040">
          <cell r="A1040">
            <v>180008081</v>
          </cell>
          <cell r="B1040" t="str">
            <v>FIXED  ASSET  W.I.P</v>
          </cell>
          <cell r="C1040">
            <v>5220045598.4799995</v>
          </cell>
          <cell r="D1040">
            <v>0</v>
          </cell>
          <cell r="E1040">
            <v>5220045598.4799995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5220045598.4799995</v>
          </cell>
          <cell r="T1040">
            <v>5220045598.4799995</v>
          </cell>
        </row>
        <row r="1041">
          <cell r="A1041">
            <v>180008083</v>
          </cell>
          <cell r="B1041" t="str">
            <v>PRE-OPEN DOPEMU 2-ALUMINIUM VILL</v>
          </cell>
          <cell r="C1041">
            <v>0</v>
          </cell>
          <cell r="D1041">
            <v>0</v>
          </cell>
          <cell r="E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</row>
        <row r="1042">
          <cell r="A1042">
            <v>180008085</v>
          </cell>
          <cell r="B1042" t="str">
            <v>PRE-OPEN-KARU DISTRICT,ABUJA</v>
          </cell>
          <cell r="C1042">
            <v>82291401.409999996</v>
          </cell>
          <cell r="D1042">
            <v>0</v>
          </cell>
          <cell r="E1042">
            <v>82291401.409999996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82291401.409999996</v>
          </cell>
          <cell r="T1042">
            <v>82291401.409999996</v>
          </cell>
        </row>
        <row r="1043">
          <cell r="A1043">
            <v>180010000</v>
          </cell>
          <cell r="B1043" t="str">
            <v>FREEHOLD LAND AND BUILDING</v>
          </cell>
          <cell r="C1043">
            <v>35255143089.669998</v>
          </cell>
          <cell r="D1043">
            <v>0</v>
          </cell>
          <cell r="E1043">
            <v>35255143089.669998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35255143089.669998</v>
          </cell>
          <cell r="T1043">
            <v>35255143089.669998</v>
          </cell>
        </row>
        <row r="1044">
          <cell r="A1044">
            <v>180020000</v>
          </cell>
          <cell r="B1044" t="str">
            <v>LEASEHOLD IMPROVEMENT</v>
          </cell>
          <cell r="C1044">
            <v>20009236858.25</v>
          </cell>
          <cell r="D1044">
            <v>0</v>
          </cell>
          <cell r="E1044">
            <v>20009236858.25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20009236858.25</v>
          </cell>
          <cell r="T1044">
            <v>20009236858.25</v>
          </cell>
        </row>
        <row r="1045">
          <cell r="A1045" t="str">
            <v>_x0012_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</row>
        <row r="1047">
          <cell r="C1047" t="str">
            <v>Polaris Bank Limited, N</v>
          </cell>
          <cell r="D1047" t="str">
            <v>igeria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</row>
        <row r="1048">
          <cell r="C1048" t="str">
            <v>** Consolidated Balance Shee</v>
          </cell>
          <cell r="D1048" t="str">
            <v>t CBN **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</row>
        <row r="1049"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</row>
        <row r="1050">
          <cell r="C1050" t="str">
            <v>As on :     31-OCT-2025</v>
          </cell>
          <cell r="E1050" t="str">
            <v>Page   :   19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</row>
        <row r="1051"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</row>
        <row r="1052">
          <cell r="A1052" t="str">
            <v>User Id :</v>
          </cell>
          <cell r="B1052" t="str">
            <v>SYSTEM</v>
          </cell>
          <cell r="C1052" t="str">
            <v>Date 1 Time :     01-NOV-2025</v>
          </cell>
          <cell r="D1052">
            <v>0.21625000000000003</v>
          </cell>
          <cell r="E1052" t="str">
            <v>Module :   GL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</row>
        <row r="1053">
          <cell r="A1053" t="str">
            <v>----------</v>
          </cell>
          <cell r="B1053" t="str">
            <v>----------------------------------------</v>
          </cell>
          <cell r="C1053" t="str">
            <v>------------------------------</v>
          </cell>
          <cell r="D1053" t="str">
            <v>------------------------------</v>
          </cell>
          <cell r="E1053" t="str">
            <v>----------------------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</row>
        <row r="1054">
          <cell r="A1054" t="str">
            <v>GL Code</v>
          </cell>
          <cell r="B1054" t="str">
            <v>Description</v>
          </cell>
          <cell r="C1054" t="str">
            <v>LCY Amount</v>
          </cell>
          <cell r="D1054" t="str">
            <v>FCY Amount (Lcy Eq)</v>
          </cell>
          <cell r="E1054" t="str">
            <v>Total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</row>
        <row r="1055"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</row>
        <row r="1056">
          <cell r="A1056" t="str">
            <v>----------</v>
          </cell>
          <cell r="B1056" t="str">
            <v>----------------------------------------</v>
          </cell>
          <cell r="C1056" t="str">
            <v>------------------------------</v>
          </cell>
          <cell r="D1056" t="str">
            <v>------------------------------</v>
          </cell>
          <cell r="E1056" t="str">
            <v>----------------------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</row>
        <row r="1057">
          <cell r="A1057" t="str">
            <v>Asset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</row>
        <row r="1058"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</row>
        <row r="1059">
          <cell r="A1059">
            <v>180030000</v>
          </cell>
          <cell r="B1059" t="str">
            <v>PLANT AND EQUIPMENT</v>
          </cell>
          <cell r="C1059">
            <v>21566941537.130001</v>
          </cell>
          <cell r="D1059">
            <v>0</v>
          </cell>
          <cell r="E1059">
            <v>21566941537.130001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21566941537.130001</v>
          </cell>
          <cell r="T1059">
            <v>21566941537.130001</v>
          </cell>
        </row>
        <row r="1060">
          <cell r="A1060">
            <v>180040000</v>
          </cell>
          <cell r="B1060" t="str">
            <v>OFFICE FURNITURE</v>
          </cell>
          <cell r="C1060">
            <v>3849434441.5</v>
          </cell>
          <cell r="D1060">
            <v>0</v>
          </cell>
          <cell r="E1060">
            <v>3849434441.5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3849434441.5</v>
          </cell>
          <cell r="T1060">
            <v>3849434441.5</v>
          </cell>
        </row>
        <row r="1061">
          <cell r="A1061">
            <v>180050000</v>
          </cell>
          <cell r="B1061" t="str">
            <v>HOUSE FURNITURE</v>
          </cell>
          <cell r="C1061">
            <v>360125141.89999998</v>
          </cell>
          <cell r="D1061">
            <v>0</v>
          </cell>
          <cell r="E1061">
            <v>360125141.89999998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360125141.89999998</v>
          </cell>
          <cell r="T1061">
            <v>360125141.89999998</v>
          </cell>
        </row>
        <row r="1062">
          <cell r="A1062">
            <v>180060000</v>
          </cell>
          <cell r="B1062" t="str">
            <v>MOTOR VEHICLES</v>
          </cell>
          <cell r="C1062">
            <v>6789373965.6000004</v>
          </cell>
          <cell r="D1062">
            <v>0</v>
          </cell>
          <cell r="E1062">
            <v>6789373965.6000004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6789373965.6000004</v>
          </cell>
          <cell r="T1062">
            <v>6789373965.6000004</v>
          </cell>
        </row>
        <row r="1063">
          <cell r="A1063">
            <v>180070000</v>
          </cell>
          <cell r="B1063" t="str">
            <v>INFORMATION TECH EQUIPMENTS</v>
          </cell>
          <cell r="C1063">
            <v>31777449213.43</v>
          </cell>
          <cell r="D1063">
            <v>0</v>
          </cell>
          <cell r="E1063">
            <v>31777449213.43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31777449213.43</v>
          </cell>
          <cell r="T1063">
            <v>31777449213.43</v>
          </cell>
        </row>
        <row r="1064">
          <cell r="A1064">
            <v>180090000</v>
          </cell>
          <cell r="B1064" t="str">
            <v>PPE CONVERSION FCUBS</v>
          </cell>
          <cell r="C1064">
            <v>0</v>
          </cell>
          <cell r="D1064">
            <v>0</v>
          </cell>
          <cell r="E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</row>
        <row r="1065"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</row>
        <row r="1066"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</row>
        <row r="1067">
          <cell r="B1067" t="str">
            <v>*******</v>
          </cell>
          <cell r="C1067" t="str">
            <v>*********************  *******</v>
          </cell>
          <cell r="D1067" t="str">
            <v>**********************  ******</v>
          </cell>
          <cell r="E1067" t="str">
            <v>**********************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</row>
        <row r="1068">
          <cell r="A1068" t="str">
            <v>**** TOTAL</v>
          </cell>
          <cell r="B1068" t="str">
            <v>Asset                                2</v>
          </cell>
          <cell r="C1068" t="str">
            <v>,389,953,604,693.06</v>
          </cell>
          <cell r="D1068">
            <v>373057890854.76001</v>
          </cell>
          <cell r="E1068">
            <v>2763011495547.8198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</row>
        <row r="1069">
          <cell r="B1069" t="str">
            <v>*******</v>
          </cell>
          <cell r="C1069" t="str">
            <v>*********************  *******</v>
          </cell>
          <cell r="D1069" t="str">
            <v>**********************  ******</v>
          </cell>
          <cell r="E1069" t="str">
            <v>**********************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</row>
        <row r="1070"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</row>
        <row r="1071"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</row>
        <row r="1072">
          <cell r="A1072" t="str">
            <v>_x0012_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</row>
        <row r="1073"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</row>
        <row r="1074">
          <cell r="C1074" t="str">
            <v>Polaris Bank Limited, N</v>
          </cell>
          <cell r="D1074" t="str">
            <v>igeria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</row>
        <row r="1075">
          <cell r="C1075" t="str">
            <v>** Consolidated Balance Shee</v>
          </cell>
          <cell r="D1075" t="str">
            <v>t CBN **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</row>
        <row r="1076"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</row>
        <row r="1077">
          <cell r="C1077" t="str">
            <v>As on :     31-OCT-2025</v>
          </cell>
          <cell r="E1077" t="str">
            <v>Page   :   20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</row>
        <row r="1078"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</row>
        <row r="1079">
          <cell r="A1079" t="str">
            <v>User Id :</v>
          </cell>
          <cell r="B1079" t="str">
            <v>SYSTEM</v>
          </cell>
          <cell r="C1079" t="str">
            <v>Date 1 Time :     01-NOV-2025</v>
          </cell>
          <cell r="D1079">
            <v>0.21625000000000003</v>
          </cell>
          <cell r="E1079" t="str">
            <v>Module :   GL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</row>
        <row r="1080">
          <cell r="A1080" t="str">
            <v>----------</v>
          </cell>
          <cell r="B1080" t="str">
            <v>----------------------------------------</v>
          </cell>
          <cell r="C1080" t="str">
            <v>------------------------------</v>
          </cell>
          <cell r="D1080" t="str">
            <v>------------------------------</v>
          </cell>
          <cell r="E1080" t="str">
            <v>----------------------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</row>
        <row r="1081">
          <cell r="A1081" t="str">
            <v>GL Code</v>
          </cell>
          <cell r="B1081" t="str">
            <v>Description</v>
          </cell>
          <cell r="C1081" t="str">
            <v>LCY Amount</v>
          </cell>
          <cell r="D1081" t="str">
            <v>FCY Amount (Lcy Eq)</v>
          </cell>
          <cell r="E1081" t="str">
            <v>Total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</row>
        <row r="1082"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</row>
        <row r="1083">
          <cell r="A1083" t="str">
            <v>----------</v>
          </cell>
          <cell r="B1083" t="str">
            <v>----------------------------------------</v>
          </cell>
          <cell r="C1083" t="str">
            <v>------------------------------</v>
          </cell>
          <cell r="D1083" t="str">
            <v>------------------------------</v>
          </cell>
          <cell r="E1083" t="str">
            <v>----------------------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</row>
        <row r="1084">
          <cell r="A1084" t="str">
            <v>Liability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</row>
        <row r="1085"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</row>
        <row r="1086">
          <cell r="A1086">
            <v>210010100</v>
          </cell>
          <cell r="B1086" t="str">
            <v>C/A   LCY CORPORATE &amp; COMMERCIAL</v>
          </cell>
          <cell r="C1086">
            <v>0</v>
          </cell>
          <cell r="D1086">
            <v>0</v>
          </cell>
          <cell r="E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</row>
        <row r="1087">
          <cell r="A1087">
            <v>210010101</v>
          </cell>
          <cell r="B1087" t="str">
            <v>STD C/A   CORPORATE (177)</v>
          </cell>
          <cell r="C1087">
            <v>190556128968.73999</v>
          </cell>
          <cell r="D1087">
            <v>111201563874.50999</v>
          </cell>
          <cell r="E1087">
            <v>301757692843.25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-2870575673.7599998</v>
          </cell>
          <cell r="P1087">
            <v>0</v>
          </cell>
          <cell r="Q1087">
            <v>0</v>
          </cell>
          <cell r="R1087">
            <v>0</v>
          </cell>
          <cell r="S1087">
            <v>298887117169.48999</v>
          </cell>
          <cell r="T1087">
            <v>298887117169.48999</v>
          </cell>
        </row>
        <row r="1088">
          <cell r="A1088">
            <v>210010102</v>
          </cell>
          <cell r="B1088" t="str">
            <v>POLARIS CORPORATE SELECT</v>
          </cell>
          <cell r="C1088">
            <v>0</v>
          </cell>
          <cell r="D1088">
            <v>0</v>
          </cell>
          <cell r="E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</row>
        <row r="1089">
          <cell r="A1089">
            <v>210010103</v>
          </cell>
          <cell r="B1089" t="str">
            <v>POLARIS ENTERPRISE SELECT</v>
          </cell>
          <cell r="C1089">
            <v>2071.25</v>
          </cell>
          <cell r="D1089">
            <v>0</v>
          </cell>
          <cell r="E1089">
            <v>2071.25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2071.25</v>
          </cell>
          <cell r="T1089">
            <v>2071.25</v>
          </cell>
        </row>
        <row r="1090">
          <cell r="A1090">
            <v>210010108</v>
          </cell>
          <cell r="B1090" t="str">
            <v>EX- STAFF CURRENT ACCOUNT</v>
          </cell>
          <cell r="C1090">
            <v>566117840.78999996</v>
          </cell>
          <cell r="D1090">
            <v>538605824.26999998</v>
          </cell>
          <cell r="E1090">
            <v>1104723665.0599999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1104723665.0599999</v>
          </cell>
          <cell r="T1090">
            <v>1104723665.0599999</v>
          </cell>
        </row>
        <row r="1091">
          <cell r="A1091">
            <v>210010111</v>
          </cell>
          <cell r="B1091" t="str">
            <v>POLARIS PEARL CURRENT ACCOUNT</v>
          </cell>
          <cell r="C1091">
            <v>1407980.3</v>
          </cell>
          <cell r="D1091">
            <v>0</v>
          </cell>
          <cell r="E1091">
            <v>1407980.3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1407980.3</v>
          </cell>
          <cell r="T1091">
            <v>1407980.3</v>
          </cell>
        </row>
        <row r="1092">
          <cell r="A1092">
            <v>210010112</v>
          </cell>
          <cell r="B1092" t="str">
            <v>POLARIS PEARL CURRENT ACCOUNT-BI</v>
          </cell>
          <cell r="C1092">
            <v>25453197.149999999</v>
          </cell>
          <cell r="D1092">
            <v>8471.6299999999992</v>
          </cell>
          <cell r="E1092">
            <v>25461668.780000001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25461668.780000001</v>
          </cell>
          <cell r="T1092">
            <v>25461668.780000001</v>
          </cell>
        </row>
        <row r="1093">
          <cell r="A1093">
            <v>210010113</v>
          </cell>
          <cell r="B1093" t="str">
            <v>POLARIS EXCEL BDC</v>
          </cell>
          <cell r="C1093">
            <v>36160028.399999999</v>
          </cell>
          <cell r="D1093">
            <v>1426.2</v>
          </cell>
          <cell r="E1093">
            <v>36161454.600000001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36161454.600000001</v>
          </cell>
          <cell r="T1093">
            <v>36161454.600000001</v>
          </cell>
        </row>
        <row r="1094">
          <cell r="A1094">
            <v>210010201</v>
          </cell>
          <cell r="B1094" t="str">
            <v>STD C/A   INDIVIDUAL (176)</v>
          </cell>
          <cell r="C1094">
            <v>89711763734.220001</v>
          </cell>
          <cell r="D1094">
            <v>21604046621.560001</v>
          </cell>
          <cell r="E1094">
            <v>111315810355.78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111315810355.78</v>
          </cell>
          <cell r="T1094">
            <v>111315810355.78</v>
          </cell>
        </row>
        <row r="1095">
          <cell r="A1095">
            <v>210010202</v>
          </cell>
          <cell r="B1095" t="str">
            <v>STD C/A   SALARY PRODUCT (175)</v>
          </cell>
          <cell r="C1095">
            <v>0</v>
          </cell>
          <cell r="D1095">
            <v>0</v>
          </cell>
          <cell r="E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</row>
        <row r="1096">
          <cell r="A1096">
            <v>210010203</v>
          </cell>
          <cell r="B1096" t="str">
            <v>C/AS   LCY STAFF A/CS</v>
          </cell>
          <cell r="C1096">
            <v>695384903.86000001</v>
          </cell>
          <cell r="D1096">
            <v>870962622.32000005</v>
          </cell>
          <cell r="E1096">
            <v>1566347526.1800001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1566347526.1800001</v>
          </cell>
          <cell r="T1096">
            <v>1566347526.1800001</v>
          </cell>
        </row>
        <row r="1097">
          <cell r="A1097">
            <v>210010205</v>
          </cell>
          <cell r="B1097" t="str">
            <v>REMITTANCES AND COLLECTIONS</v>
          </cell>
          <cell r="C1097">
            <v>89226071638</v>
          </cell>
          <cell r="D1097">
            <v>55578116.799999997</v>
          </cell>
          <cell r="E1097">
            <v>89281649754.800003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89281649754.800003</v>
          </cell>
          <cell r="T1097">
            <v>89281649754.800003</v>
          </cell>
        </row>
        <row r="1098">
          <cell r="A1098">
            <v>210010301</v>
          </cell>
          <cell r="B1098" t="str">
            <v>C/A FEDERAL GOVT</v>
          </cell>
          <cell r="C1098">
            <v>38804988353.75</v>
          </cell>
          <cell r="D1098">
            <v>156204518.87</v>
          </cell>
          <cell r="E1098">
            <v>38961192872.620003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38961192872.620003</v>
          </cell>
          <cell r="T1098">
            <v>38961192872.620003</v>
          </cell>
        </row>
        <row r="1099">
          <cell r="A1099">
            <v>210010302</v>
          </cell>
          <cell r="B1099" t="str">
            <v>C/A FEDERAL PARASTATAL</v>
          </cell>
          <cell r="C1099">
            <v>3517439894.79</v>
          </cell>
          <cell r="D1099">
            <v>21280688.59</v>
          </cell>
          <cell r="E1099">
            <v>3538720583.3800001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3538720583.3800001</v>
          </cell>
          <cell r="T1099">
            <v>3538720583.3800001</v>
          </cell>
        </row>
        <row r="1100">
          <cell r="A1100">
            <v>210010303</v>
          </cell>
          <cell r="B1100" t="str">
            <v>C/A STATE GOVT</v>
          </cell>
          <cell r="C1100">
            <v>36094332602.68</v>
          </cell>
          <cell r="D1100">
            <v>1113901974.3900001</v>
          </cell>
          <cell r="E1100">
            <v>37208234577.07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37208234577.07</v>
          </cell>
          <cell r="T1100">
            <v>37208234577.07</v>
          </cell>
        </row>
        <row r="1101">
          <cell r="A1101">
            <v>210010304</v>
          </cell>
          <cell r="B1101" t="str">
            <v>C/A STATE PARASTATAL</v>
          </cell>
          <cell r="C1101">
            <v>20802068312.740002</v>
          </cell>
          <cell r="D1101">
            <v>7013447354.0600004</v>
          </cell>
          <cell r="E1101">
            <v>27815515666.799999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27815515666.799999</v>
          </cell>
          <cell r="T1101">
            <v>27815515666.799999</v>
          </cell>
        </row>
        <row r="1102">
          <cell r="A1102">
            <v>210010305</v>
          </cell>
          <cell r="B1102" t="str">
            <v>C/A LOCAL GOVT</v>
          </cell>
          <cell r="C1102">
            <v>6344648800.1000004</v>
          </cell>
          <cell r="D1102">
            <v>632834.19999999995</v>
          </cell>
          <cell r="E1102">
            <v>6345281634.3000002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6345281634.3000002</v>
          </cell>
          <cell r="T1102">
            <v>6345281634.3000002</v>
          </cell>
        </row>
        <row r="1103">
          <cell r="A1103">
            <v>210010401</v>
          </cell>
          <cell r="B1103" t="str">
            <v>BALANCE WITH BT GMBH US$ ACCOUNT</v>
          </cell>
          <cell r="C1103">
            <v>0</v>
          </cell>
          <cell r="D1103">
            <v>0</v>
          </cell>
          <cell r="E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</row>
        <row r="1104">
          <cell r="A1104">
            <v>210010403</v>
          </cell>
          <cell r="B1104" t="str">
            <v>BT GMBH INT. &amp; CHARGES US$ ACCOU</v>
          </cell>
          <cell r="C1104">
            <v>0</v>
          </cell>
          <cell r="D1104">
            <v>0</v>
          </cell>
          <cell r="E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</row>
        <row r="1105">
          <cell r="A1105">
            <v>210010404</v>
          </cell>
          <cell r="B1105" t="str">
            <v>DOLLAR CASH ACCOUNT</v>
          </cell>
          <cell r="C1105">
            <v>0</v>
          </cell>
          <cell r="D1105">
            <v>0</v>
          </cell>
          <cell r="E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</row>
        <row r="1106">
          <cell r="A1106">
            <v>210010405</v>
          </cell>
          <cell r="B1106" t="str">
            <v>POLARISXCHANGE POSITION ACCOUNT</v>
          </cell>
          <cell r="C1106">
            <v>0</v>
          </cell>
          <cell r="D1106">
            <v>71361560.189999998</v>
          </cell>
          <cell r="E1106">
            <v>71361560.189999998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71361560.189999998</v>
          </cell>
          <cell r="T1106">
            <v>71361560.189999998</v>
          </cell>
        </row>
        <row r="1107">
          <cell r="A1107">
            <v>210010406</v>
          </cell>
          <cell r="B1107" t="str">
            <v>BDC (OTHER) DEPOSITS GL</v>
          </cell>
          <cell r="C1107">
            <v>0</v>
          </cell>
          <cell r="D1107">
            <v>0</v>
          </cell>
          <cell r="E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</row>
        <row r="1108">
          <cell r="A1108">
            <v>210010407</v>
          </cell>
          <cell r="B1108" t="str">
            <v>BT GMBH GBP ACCOUNT</v>
          </cell>
          <cell r="C1108">
            <v>0</v>
          </cell>
          <cell r="D1108">
            <v>0</v>
          </cell>
          <cell r="E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</row>
        <row r="1109">
          <cell r="A1109">
            <v>210010408</v>
          </cell>
          <cell r="B1109" t="str">
            <v>BTCO LONDON GBP DOMCONTROL A/C(U</v>
          </cell>
          <cell r="C1109">
            <v>0</v>
          </cell>
          <cell r="D1109">
            <v>0</v>
          </cell>
          <cell r="E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</row>
        <row r="1110">
          <cell r="A1110">
            <v>210010409</v>
          </cell>
          <cell r="B1110" t="str">
            <v>BT GMBH DEM ACCOUNT</v>
          </cell>
          <cell r="C1110">
            <v>0</v>
          </cell>
          <cell r="D1110">
            <v>0</v>
          </cell>
          <cell r="E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</row>
        <row r="1111">
          <cell r="A1111">
            <v>210010411</v>
          </cell>
          <cell r="B1111" t="str">
            <v>MEMO CONTRL USD INT&amp;CHRGS {BELGL</v>
          </cell>
          <cell r="C1111">
            <v>-8207325.2999999998</v>
          </cell>
          <cell r="D1111">
            <v>94430187.329999998</v>
          </cell>
          <cell r="E1111">
            <v>86222862.030000001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86222862.030000001</v>
          </cell>
          <cell r="T1111">
            <v>86222862.030000001</v>
          </cell>
        </row>
        <row r="1112">
          <cell r="A1112">
            <v>210010412</v>
          </cell>
          <cell r="B1112" t="str">
            <v>DTBK NY MEMO CNTRL USD INT.ACC</v>
          </cell>
          <cell r="C1112">
            <v>0</v>
          </cell>
          <cell r="D1112">
            <v>0</v>
          </cell>
          <cell r="E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</row>
        <row r="1113">
          <cell r="A1113">
            <v>210010413</v>
          </cell>
          <cell r="B1113" t="str">
            <v>DTBK FRKFT MEM CTRL.COLL.INT.ACC</v>
          </cell>
          <cell r="C1113">
            <v>0</v>
          </cell>
          <cell r="D1113">
            <v>0</v>
          </cell>
          <cell r="E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</row>
        <row r="1114">
          <cell r="A1114">
            <v>210010500</v>
          </cell>
          <cell r="B1114" t="str">
            <v>DORMANT C/A   LCY</v>
          </cell>
          <cell r="C1114">
            <v>202506553.97999999</v>
          </cell>
          <cell r="D1114">
            <v>153102.57</v>
          </cell>
          <cell r="E1114">
            <v>202659656.55000001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202659656.55000001</v>
          </cell>
          <cell r="T1114">
            <v>202659656.55000001</v>
          </cell>
        </row>
        <row r="1115">
          <cell r="A1115">
            <v>210010600</v>
          </cell>
          <cell r="B1115" t="str">
            <v>DORMANT C/A   FCY</v>
          </cell>
          <cell r="C1115">
            <v>0</v>
          </cell>
          <cell r="D1115">
            <v>927911560.12</v>
          </cell>
          <cell r="E1115">
            <v>927911560.12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927911560.12</v>
          </cell>
          <cell r="T1115">
            <v>927911560.12</v>
          </cell>
        </row>
        <row r="1116">
          <cell r="A1116">
            <v>210010701</v>
          </cell>
          <cell r="B1116" t="str">
            <v>COLLECTION ACCOUNT</v>
          </cell>
          <cell r="C1116">
            <v>0</v>
          </cell>
          <cell r="D1116">
            <v>0</v>
          </cell>
          <cell r="E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</row>
        <row r="1117">
          <cell r="A1117">
            <v>210010706</v>
          </cell>
          <cell r="B1117" t="str">
            <v>LAGOS STATE REVENUE COLLECTION</v>
          </cell>
          <cell r="C1117">
            <v>27500</v>
          </cell>
          <cell r="D1117">
            <v>0</v>
          </cell>
          <cell r="E1117">
            <v>27500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27500</v>
          </cell>
          <cell r="T1117">
            <v>27500</v>
          </cell>
        </row>
        <row r="1118">
          <cell r="A1118">
            <v>210010800</v>
          </cell>
          <cell r="B1118" t="str">
            <v>CBN UNCLAIMED BALANCE TRUST FUND</v>
          </cell>
          <cell r="C1118">
            <v>0</v>
          </cell>
          <cell r="D1118">
            <v>0</v>
          </cell>
          <cell r="E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</row>
        <row r="1119">
          <cell r="A1119">
            <v>210010900</v>
          </cell>
          <cell r="B1119" t="str">
            <v>UNCLAMIED TERM DEPOSIT GL LCY</v>
          </cell>
          <cell r="C1119">
            <v>77757033.620000005</v>
          </cell>
          <cell r="D1119">
            <v>64317765.079999998</v>
          </cell>
          <cell r="E1119">
            <v>142074798.69999999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142074798.69999999</v>
          </cell>
          <cell r="T1119">
            <v>142074798.69999999</v>
          </cell>
        </row>
        <row r="1120">
          <cell r="A1120">
            <v>210011000</v>
          </cell>
          <cell r="B1120" t="str">
            <v>UNCLAIMED C/A    FCY</v>
          </cell>
          <cell r="C1120">
            <v>20300667.07</v>
          </cell>
          <cell r="D1120">
            <v>1115394.6499999999</v>
          </cell>
          <cell r="E1120">
            <v>21416061.719999999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21416061.719999999</v>
          </cell>
          <cell r="T1120">
            <v>21416061.719999999</v>
          </cell>
        </row>
        <row r="1121">
          <cell r="A1121">
            <v>210011100</v>
          </cell>
          <cell r="B1121" t="str">
            <v>A/CS AWAITING COMPLETE DOCS</v>
          </cell>
          <cell r="C1121">
            <v>28781380.920000002</v>
          </cell>
          <cell r="D1121">
            <v>6871474.4000000004</v>
          </cell>
          <cell r="E1121">
            <v>35652855.32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35652855.32</v>
          </cell>
          <cell r="T1121">
            <v>35652855.32</v>
          </cell>
        </row>
        <row r="1122">
          <cell r="A1122">
            <v>210011200</v>
          </cell>
          <cell r="B1122" t="str">
            <v>CPC NEW ACCOUNT OPENING GL</v>
          </cell>
          <cell r="C1122">
            <v>291983.34000000003</v>
          </cell>
          <cell r="D1122">
            <v>355577.4</v>
          </cell>
          <cell r="E1122">
            <v>647560.74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647560.74</v>
          </cell>
          <cell r="T1122">
            <v>647560.74</v>
          </cell>
        </row>
        <row r="1123">
          <cell r="A1123">
            <v>210020101</v>
          </cell>
          <cell r="B1123" t="str">
            <v>STD S/A   LCY  INDIVIDUAL (101)</v>
          </cell>
          <cell r="C1123">
            <v>408885765746.15997</v>
          </cell>
          <cell r="D1123">
            <v>22948890305.540001</v>
          </cell>
          <cell r="E1123">
            <v>431834656051.70001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431834656051.70001</v>
          </cell>
          <cell r="T1123">
            <v>431834656051.70001</v>
          </cell>
        </row>
        <row r="1124">
          <cell r="A1124">
            <v>210020103</v>
          </cell>
          <cell r="B1124" t="str">
            <v>STD S/A  WORKPLACE BANKING (WPB)</v>
          </cell>
          <cell r="C1124">
            <v>15760719047.01</v>
          </cell>
          <cell r="D1124">
            <v>0</v>
          </cell>
          <cell r="E1124">
            <v>15760719047.01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15760719047.01</v>
          </cell>
          <cell r="T1124">
            <v>15760719047.01</v>
          </cell>
        </row>
        <row r="1125">
          <cell r="A1125">
            <v>210020104</v>
          </cell>
          <cell r="B1125" t="str">
            <v>POLARIS FLEX (302)</v>
          </cell>
          <cell r="C1125">
            <v>4744633956.8100004</v>
          </cell>
          <cell r="D1125">
            <v>0</v>
          </cell>
          <cell r="E1125">
            <v>4744633956.8100004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4744633956.8100004</v>
          </cell>
          <cell r="T1125">
            <v>4744633956.8100004</v>
          </cell>
        </row>
        <row r="1126">
          <cell r="A1126">
            <v>210020105</v>
          </cell>
          <cell r="B1126" t="str">
            <v>POLARIS EASE (303)</v>
          </cell>
          <cell r="C1126">
            <v>1128728170.9000001</v>
          </cell>
          <cell r="D1126">
            <v>0</v>
          </cell>
          <cell r="E1126">
            <v>1128728170.9000001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1128728170.9000001</v>
          </cell>
          <cell r="T1126">
            <v>1128728170.9000001</v>
          </cell>
        </row>
        <row r="1127">
          <cell r="A1127">
            <v>210020106</v>
          </cell>
          <cell r="B1127" t="str">
            <v>STD S/A CAMPUSPLUS (113)</v>
          </cell>
          <cell r="C1127">
            <v>572882080.48000002</v>
          </cell>
          <cell r="D1127">
            <v>0</v>
          </cell>
          <cell r="E1127">
            <v>572882080.48000002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572882080.48000002</v>
          </cell>
          <cell r="T1127">
            <v>572882080.48000002</v>
          </cell>
        </row>
        <row r="1128">
          <cell r="A1128">
            <v>210020108</v>
          </cell>
          <cell r="B1128" t="str">
            <v>S/AS   LCY STAFF</v>
          </cell>
          <cell r="C1128">
            <v>729985980.49000001</v>
          </cell>
          <cell r="D1128">
            <v>101872583.15000001</v>
          </cell>
          <cell r="E1128">
            <v>831858563.63999999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831858563.63999999</v>
          </cell>
          <cell r="T1128">
            <v>831858563.63999999</v>
          </cell>
        </row>
        <row r="1129">
          <cell r="A1129">
            <v>210020110</v>
          </cell>
          <cell r="B1129" t="str">
            <v>DORMANT S/AS</v>
          </cell>
          <cell r="C1129">
            <v>1969584196.52</v>
          </cell>
          <cell r="D1129">
            <v>-940302674.05999994</v>
          </cell>
          <cell r="E1129">
            <v>1029281522.46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1029281522.46</v>
          </cell>
          <cell r="T1129">
            <v>1029281522.46</v>
          </cell>
        </row>
        <row r="1130">
          <cell r="A1130">
            <v>210020111</v>
          </cell>
          <cell r="B1130" t="str">
            <v>UNCLAIMED S/AS</v>
          </cell>
          <cell r="C1130">
            <v>171074179.84</v>
          </cell>
          <cell r="D1130">
            <v>82564429.989999995</v>
          </cell>
          <cell r="E1130">
            <v>253638609.83000001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253638609.83000001</v>
          </cell>
          <cell r="T1130">
            <v>253638609.83000001</v>
          </cell>
        </row>
        <row r="1131">
          <cell r="A1131" t="str">
            <v>_x0012_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</row>
        <row r="1132"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</row>
        <row r="1133">
          <cell r="C1133" t="str">
            <v>Polaris Bank Limited, N</v>
          </cell>
          <cell r="D1133" t="str">
            <v>igeria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</row>
        <row r="1134">
          <cell r="C1134" t="str">
            <v>** Consolidated Balance Shee</v>
          </cell>
          <cell r="D1134" t="str">
            <v>t CBN **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</row>
        <row r="1135"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</row>
        <row r="1136">
          <cell r="C1136" t="str">
            <v>As on :     31-OCT-2025</v>
          </cell>
          <cell r="E1136" t="str">
            <v>Page   :   21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</row>
        <row r="1137"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</row>
        <row r="1138">
          <cell r="A1138" t="str">
            <v>User Id :</v>
          </cell>
          <cell r="B1138" t="str">
            <v>SYSTEM</v>
          </cell>
          <cell r="C1138" t="str">
            <v>Date 1 Time :     01-NOV-2025</v>
          </cell>
          <cell r="D1138">
            <v>0.21625000000000003</v>
          </cell>
          <cell r="E1138" t="str">
            <v>Module :   GL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</row>
        <row r="1139">
          <cell r="A1139" t="str">
            <v>----------</v>
          </cell>
          <cell r="B1139" t="str">
            <v>----------------------------------------</v>
          </cell>
          <cell r="C1139" t="str">
            <v>------------------------------</v>
          </cell>
          <cell r="D1139" t="str">
            <v>------------------------------</v>
          </cell>
          <cell r="E1139" t="str">
            <v>----------------------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</row>
        <row r="1140">
          <cell r="A1140" t="str">
            <v>GL Code</v>
          </cell>
          <cell r="B1140" t="str">
            <v>Description</v>
          </cell>
          <cell r="C1140" t="str">
            <v>LCY Amount</v>
          </cell>
          <cell r="D1140" t="str">
            <v>FCY Amount (Lcy Eq)</v>
          </cell>
          <cell r="E1140" t="str">
            <v>Total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</row>
        <row r="1141"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</row>
        <row r="1142">
          <cell r="A1142" t="str">
            <v>----------</v>
          </cell>
          <cell r="B1142" t="str">
            <v>----------------------------------------</v>
          </cell>
          <cell r="C1142" t="str">
            <v>------------------------------</v>
          </cell>
          <cell r="D1142" t="str">
            <v>------------------------------</v>
          </cell>
          <cell r="E1142" t="str">
            <v>----------------------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</row>
        <row r="1143">
          <cell r="A1143" t="str">
            <v>Liability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</row>
        <row r="1144"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</row>
        <row r="1145">
          <cell r="A1145">
            <v>210020112</v>
          </cell>
          <cell r="B1145" t="str">
            <v>STAFF PEN. SAVINGS</v>
          </cell>
          <cell r="C1145">
            <v>71640632.069999993</v>
          </cell>
          <cell r="D1145">
            <v>0</v>
          </cell>
          <cell r="E1145">
            <v>71640632.069999993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71640632.069999993</v>
          </cell>
          <cell r="T1145">
            <v>71640632.069999993</v>
          </cell>
        </row>
        <row r="1146">
          <cell r="A1146">
            <v>210020113</v>
          </cell>
          <cell r="B1146" t="str">
            <v>EX- STAFF SAVINGS ACCOUNT</v>
          </cell>
          <cell r="C1146">
            <v>1138649050.96</v>
          </cell>
          <cell r="D1146">
            <v>62691170.450000003</v>
          </cell>
          <cell r="E1146">
            <v>1201340221.4100001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1201340221.4100001</v>
          </cell>
          <cell r="T1146">
            <v>1201340221.4100001</v>
          </cell>
        </row>
        <row r="1147">
          <cell r="A1147">
            <v>210020201</v>
          </cell>
          <cell r="B1147" t="str">
            <v>POLARIS RAINBOW SAVINGS A/C</v>
          </cell>
          <cell r="C1147">
            <v>6554462506.8500004</v>
          </cell>
          <cell r="D1147">
            <v>0</v>
          </cell>
          <cell r="E1147">
            <v>6554462506.8500004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6554462506.8500004</v>
          </cell>
          <cell r="T1147">
            <v>6554462506.8500004</v>
          </cell>
        </row>
        <row r="1148">
          <cell r="A1148">
            <v>210020202</v>
          </cell>
          <cell r="B1148" t="str">
            <v>POLARIS MONEYWISE A/C</v>
          </cell>
          <cell r="C1148">
            <v>99947186719.179993</v>
          </cell>
          <cell r="D1148">
            <v>0</v>
          </cell>
          <cell r="E1148">
            <v>99947186719.179993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99947186719.179993</v>
          </cell>
          <cell r="T1148">
            <v>99947186719.179993</v>
          </cell>
        </row>
        <row r="1149">
          <cell r="A1149">
            <v>210020204</v>
          </cell>
          <cell r="B1149" t="str">
            <v>POLARIS SELECT ACCOUNTS</v>
          </cell>
          <cell r="C1149">
            <v>19543129404.389999</v>
          </cell>
          <cell r="D1149">
            <v>0</v>
          </cell>
          <cell r="E1149">
            <v>19543129404.389999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19543129404.389999</v>
          </cell>
          <cell r="T1149">
            <v>19543129404.389999</v>
          </cell>
        </row>
        <row r="1150">
          <cell r="A1150">
            <v>210020206</v>
          </cell>
          <cell r="B1150" t="str">
            <v>POLARIS GLOBAL ACCOUNT</v>
          </cell>
          <cell r="C1150">
            <v>2579776858.4000001</v>
          </cell>
          <cell r="D1150">
            <v>2001653770.6500001</v>
          </cell>
          <cell r="E1150">
            <v>4581430629.0500002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4581430629.0500002</v>
          </cell>
          <cell r="T1150">
            <v>4581430629.0500002</v>
          </cell>
        </row>
        <row r="1151">
          <cell r="A1151">
            <v>210020207</v>
          </cell>
          <cell r="B1151" t="str">
            <v>POLARIS FLITCASH GL</v>
          </cell>
          <cell r="C1151">
            <v>0</v>
          </cell>
          <cell r="D1151">
            <v>0</v>
          </cell>
          <cell r="E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</row>
        <row r="1152">
          <cell r="A1152">
            <v>210020209</v>
          </cell>
          <cell r="B1152" t="str">
            <v>EDUCARE DEPOSIT ACCOUNT</v>
          </cell>
          <cell r="C1152">
            <v>0</v>
          </cell>
          <cell r="D1152">
            <v>0</v>
          </cell>
          <cell r="E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</row>
        <row r="1153">
          <cell r="A1153">
            <v>210020210</v>
          </cell>
          <cell r="B1153" t="str">
            <v>POLARIS GLOBAL DORMANT ACCOUNTS</v>
          </cell>
          <cell r="C1153">
            <v>872733.16</v>
          </cell>
          <cell r="D1153">
            <v>4615431.47</v>
          </cell>
          <cell r="E1153">
            <v>5488164.6299999999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5488164.6299999999</v>
          </cell>
          <cell r="T1153">
            <v>5488164.6299999999</v>
          </cell>
        </row>
        <row r="1154">
          <cell r="A1154">
            <v>210020211</v>
          </cell>
          <cell r="B1154" t="str">
            <v>POLARISXCEL CORPORATE</v>
          </cell>
          <cell r="C1154">
            <v>33434447015.490002</v>
          </cell>
          <cell r="D1154">
            <v>0</v>
          </cell>
          <cell r="E1154">
            <v>33434447015.490002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33434447015.490002</v>
          </cell>
          <cell r="T1154">
            <v>33434447015.490002</v>
          </cell>
        </row>
        <row r="1155">
          <cell r="A1155">
            <v>210020212</v>
          </cell>
          <cell r="B1155" t="str">
            <v>POLARIS BUSINESS ADVANTAGE</v>
          </cell>
          <cell r="C1155">
            <v>149971914278.85001</v>
          </cell>
          <cell r="D1155">
            <v>28202624004.240002</v>
          </cell>
          <cell r="E1155">
            <v>178174538283.09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178174538283.09</v>
          </cell>
          <cell r="T1155">
            <v>178174538283.09</v>
          </cell>
        </row>
        <row r="1156">
          <cell r="A1156">
            <v>210020213</v>
          </cell>
          <cell r="B1156" t="str">
            <v>CASA LIABILITY CONVERSION GL</v>
          </cell>
          <cell r="C1156">
            <v>23.07</v>
          </cell>
          <cell r="D1156">
            <v>-23.07</v>
          </cell>
          <cell r="E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</row>
        <row r="1157">
          <cell r="A1157">
            <v>210020214</v>
          </cell>
          <cell r="B1157" t="str">
            <v>MBL - CASA LIABILITY CONVERSION</v>
          </cell>
          <cell r="C1157">
            <v>0</v>
          </cell>
          <cell r="D1157">
            <v>0</v>
          </cell>
          <cell r="E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</row>
        <row r="1158">
          <cell r="A1158">
            <v>210020219</v>
          </cell>
          <cell r="B1158" t="str">
            <v>POLARIS AGENCY BANKING ACCOUNT</v>
          </cell>
          <cell r="C1158">
            <v>361023308.49000001</v>
          </cell>
          <cell r="D1158">
            <v>0</v>
          </cell>
          <cell r="E1158">
            <v>361023308.49000001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361023308.49000001</v>
          </cell>
          <cell r="T1158">
            <v>361023308.49000001</v>
          </cell>
        </row>
        <row r="1159">
          <cell r="A1159">
            <v>210020220</v>
          </cell>
          <cell r="B1159" t="str">
            <v>POLARIS YOUNG ACHIEVERS ACCOUNT</v>
          </cell>
          <cell r="C1159">
            <v>4718066088.8199997</v>
          </cell>
          <cell r="D1159">
            <v>0</v>
          </cell>
          <cell r="E1159">
            <v>4718066088.8199997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4718066088.8199997</v>
          </cell>
          <cell r="T1159">
            <v>4718066088.8199997</v>
          </cell>
        </row>
        <row r="1160">
          <cell r="A1160">
            <v>210020221</v>
          </cell>
          <cell r="B1160" t="str">
            <v>POLARIS PEARL ACCOUNT TIER 1</v>
          </cell>
          <cell r="C1160">
            <v>2454722.9900000002</v>
          </cell>
          <cell r="D1160">
            <v>0</v>
          </cell>
          <cell r="E1160">
            <v>2454722.9900000002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2454722.9900000002</v>
          </cell>
          <cell r="T1160">
            <v>2454722.9900000002</v>
          </cell>
        </row>
        <row r="1161">
          <cell r="A1161">
            <v>210020222</v>
          </cell>
          <cell r="B1161" t="str">
            <v>POLARIS PEARL ACCOUNT TIER 2</v>
          </cell>
          <cell r="C1161">
            <v>438982.55</v>
          </cell>
          <cell r="D1161">
            <v>0</v>
          </cell>
          <cell r="E1161">
            <v>438982.55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438982.55</v>
          </cell>
          <cell r="T1161">
            <v>438982.55</v>
          </cell>
        </row>
        <row r="1162">
          <cell r="A1162">
            <v>210020223</v>
          </cell>
          <cell r="B1162" t="str">
            <v>POLARIS PEARL ACCOUNT TIER 3</v>
          </cell>
          <cell r="C1162">
            <v>131594061.54000001</v>
          </cell>
          <cell r="D1162">
            <v>0</v>
          </cell>
          <cell r="E1162">
            <v>131594061.54000001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131594061.54000001</v>
          </cell>
          <cell r="T1162">
            <v>131594061.54000001</v>
          </cell>
        </row>
        <row r="1163">
          <cell r="A1163">
            <v>210020224</v>
          </cell>
          <cell r="B1163" t="str">
            <v>POLARIS SENIOR HYBRID ACCOUNT</v>
          </cell>
          <cell r="C1163">
            <v>31018437.68</v>
          </cell>
          <cell r="D1163">
            <v>0</v>
          </cell>
          <cell r="E1163">
            <v>31018437.68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31018437.68</v>
          </cell>
          <cell r="T1163">
            <v>31018437.68</v>
          </cell>
        </row>
        <row r="1164">
          <cell r="A1164">
            <v>210020225</v>
          </cell>
          <cell r="B1164" t="str">
            <v>POLARIS TARGET SAVINGS ACCOUNT</v>
          </cell>
          <cell r="C1164">
            <v>14666414.960000001</v>
          </cell>
          <cell r="D1164">
            <v>0</v>
          </cell>
          <cell r="E1164">
            <v>14666414.960000001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14666414.960000001</v>
          </cell>
          <cell r="T1164">
            <v>14666414.960000001</v>
          </cell>
        </row>
        <row r="1165">
          <cell r="A1165">
            <v>210020226</v>
          </cell>
          <cell r="B1165" t="str">
            <v>HOSPITAL COLLECTION ACCOUNT</v>
          </cell>
          <cell r="C1165">
            <v>220641327.16</v>
          </cell>
          <cell r="D1165">
            <v>0</v>
          </cell>
          <cell r="E1165">
            <v>220641327.16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220641327.16</v>
          </cell>
          <cell r="T1165">
            <v>220641327.16</v>
          </cell>
        </row>
        <row r="1166">
          <cell r="A1166">
            <v>210020227</v>
          </cell>
          <cell r="B1166" t="str">
            <v>POLARIS MERCHANT SAVINGS ACCOUNT</v>
          </cell>
          <cell r="C1166">
            <v>1083849.22</v>
          </cell>
          <cell r="D1166">
            <v>139796.12</v>
          </cell>
          <cell r="E1166">
            <v>1223645.3400000001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1223645.3400000001</v>
          </cell>
          <cell r="T1166">
            <v>1223645.3400000001</v>
          </cell>
        </row>
        <row r="1167">
          <cell r="A1167">
            <v>210030103</v>
          </cell>
          <cell r="B1167" t="str">
            <v>CALL DEPOSITS LCY INDIVIDUAL</v>
          </cell>
          <cell r="C1167">
            <v>137661820.84</v>
          </cell>
          <cell r="D1167">
            <v>0</v>
          </cell>
          <cell r="E1167">
            <v>137661820.84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137661820.84</v>
          </cell>
          <cell r="T1167">
            <v>137661820.84</v>
          </cell>
        </row>
        <row r="1168">
          <cell r="A1168">
            <v>210030111</v>
          </cell>
          <cell r="B1168" t="str">
            <v>CALL DEPOSIT LOCAL GOVT</v>
          </cell>
          <cell r="C1168">
            <v>3000</v>
          </cell>
          <cell r="D1168">
            <v>0</v>
          </cell>
          <cell r="E1168">
            <v>3000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3000</v>
          </cell>
          <cell r="T1168">
            <v>3000</v>
          </cell>
        </row>
        <row r="1169">
          <cell r="A1169">
            <v>210030113</v>
          </cell>
          <cell r="B1169" t="str">
            <v>REPO TAKINGS</v>
          </cell>
          <cell r="C1169">
            <v>0</v>
          </cell>
          <cell r="D1169">
            <v>0</v>
          </cell>
          <cell r="E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</row>
        <row r="1170">
          <cell r="A1170">
            <v>210030114</v>
          </cell>
          <cell r="B1170" t="str">
            <v>HAIRCUT ON FINANCIAL INSTRUMENT-</v>
          </cell>
          <cell r="C1170">
            <v>13868032000</v>
          </cell>
          <cell r="D1170">
            <v>0</v>
          </cell>
          <cell r="E1170">
            <v>13868032000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13868032000</v>
          </cell>
          <cell r="T1170">
            <v>-13868032000</v>
          </cell>
        </row>
        <row r="1171">
          <cell r="A1171">
            <v>210030202</v>
          </cell>
          <cell r="B1171" t="str">
            <v>TERM DEPOSITS -LCY  INDIVIDUAL</v>
          </cell>
          <cell r="C1171">
            <v>254388971503.88</v>
          </cell>
          <cell r="D1171">
            <v>66956483969.699997</v>
          </cell>
          <cell r="E1171">
            <v>321345455473.58002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321345455473.58002</v>
          </cell>
          <cell r="T1171">
            <v>321345455473.58002</v>
          </cell>
        </row>
        <row r="1172">
          <cell r="A1172">
            <v>210030204</v>
          </cell>
          <cell r="B1172" t="str">
            <v>TERM DEPOSISTS LCY - 004</v>
          </cell>
          <cell r="C1172">
            <v>5826840437.4200001</v>
          </cell>
          <cell r="D1172">
            <v>0</v>
          </cell>
          <cell r="E1172">
            <v>5826840437.4200001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5826840437.4200001</v>
          </cell>
          <cell r="T1172">
            <v>5826840437.4200001</v>
          </cell>
        </row>
        <row r="1173">
          <cell r="A1173">
            <v>210030207</v>
          </cell>
          <cell r="B1173" t="str">
            <v>TERM DEPOSITS   FCY</v>
          </cell>
          <cell r="C1173">
            <v>0</v>
          </cell>
          <cell r="D1173">
            <v>20905531828.380001</v>
          </cell>
          <cell r="E1173">
            <v>20905531828.380001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20905531828.380001</v>
          </cell>
          <cell r="T1173">
            <v>20905531828.380001</v>
          </cell>
        </row>
        <row r="1174">
          <cell r="A1174">
            <v>210030214</v>
          </cell>
          <cell r="B1174" t="str">
            <v>POLARIS DISCOUNT NOTE</v>
          </cell>
          <cell r="C1174">
            <v>13258358808.43</v>
          </cell>
          <cell r="D1174">
            <v>0</v>
          </cell>
          <cell r="E1174">
            <v>13258358808.43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13258358808.43</v>
          </cell>
          <cell r="T1174">
            <v>13258358808.43</v>
          </cell>
        </row>
        <row r="1175">
          <cell r="A1175">
            <v>210030215</v>
          </cell>
          <cell r="B1175" t="str">
            <v>POLARIS TREASURY NOTE GL</v>
          </cell>
          <cell r="C1175">
            <v>0</v>
          </cell>
          <cell r="D1175">
            <v>0</v>
          </cell>
          <cell r="E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</row>
        <row r="1176">
          <cell r="A1176">
            <v>210030216</v>
          </cell>
          <cell r="B1176" t="str">
            <v>TERM DEPOSIT TENORED</v>
          </cell>
          <cell r="C1176">
            <v>0</v>
          </cell>
          <cell r="D1176">
            <v>0</v>
          </cell>
          <cell r="E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</row>
        <row r="1177">
          <cell r="A1177">
            <v>210030217</v>
          </cell>
          <cell r="B1177" t="str">
            <v>POLARIS HIGH YIELD NOTE GL</v>
          </cell>
          <cell r="C1177">
            <v>0</v>
          </cell>
          <cell r="D1177">
            <v>0</v>
          </cell>
          <cell r="E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</row>
        <row r="1178">
          <cell r="A1178">
            <v>210030218</v>
          </cell>
          <cell r="B1178" t="str">
            <v>POLARIS PRIORITY FIXED</v>
          </cell>
          <cell r="C1178">
            <v>259691867311.48001</v>
          </cell>
          <cell r="D1178">
            <v>0</v>
          </cell>
          <cell r="E1178">
            <v>259691867311.48001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259691867311.48001</v>
          </cell>
          <cell r="T1178">
            <v>259691867311.48001</v>
          </cell>
        </row>
        <row r="1179">
          <cell r="A1179">
            <v>210030400</v>
          </cell>
          <cell r="B1179" t="str">
            <v>MATURED FIXED DEP. A/C   FCY</v>
          </cell>
          <cell r="C1179">
            <v>0</v>
          </cell>
          <cell r="D1179">
            <v>0</v>
          </cell>
          <cell r="E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</row>
        <row r="1180">
          <cell r="A1180">
            <v>210030500</v>
          </cell>
          <cell r="B1180" t="str">
            <v>ACCT AWAITING FIXED DEPOSIT BOOK</v>
          </cell>
          <cell r="C1180">
            <v>-179898267.83000001</v>
          </cell>
          <cell r="D1180">
            <v>7246664.8200000003</v>
          </cell>
          <cell r="E1180">
            <v>-172651603.00999999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-172651603.00999999</v>
          </cell>
          <cell r="T1180">
            <v>-172651603.00999999</v>
          </cell>
        </row>
        <row r="1181">
          <cell r="A1181">
            <v>210030600</v>
          </cell>
          <cell r="B1181" t="str">
            <v>TERM DEPOSIT CONVERSION GL</v>
          </cell>
          <cell r="C1181">
            <v>0</v>
          </cell>
          <cell r="D1181">
            <v>0</v>
          </cell>
          <cell r="E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</row>
        <row r="1182">
          <cell r="A1182">
            <v>210030800</v>
          </cell>
          <cell r="B1182" t="str">
            <v>APG DEPOSIT INFLOW</v>
          </cell>
          <cell r="C1182">
            <v>9425354086.0200005</v>
          </cell>
          <cell r="D1182">
            <v>7756243940.6999998</v>
          </cell>
          <cell r="E1182">
            <v>17181598026.720001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17181598026.720001</v>
          </cell>
          <cell r="T1182">
            <v>17181598026.720001</v>
          </cell>
        </row>
        <row r="1183">
          <cell r="A1183">
            <v>210030900</v>
          </cell>
          <cell r="B1183" t="str">
            <v>MBL - TERM DEPOSIT CONVERSION GL</v>
          </cell>
          <cell r="C1183">
            <v>0</v>
          </cell>
          <cell r="D1183">
            <v>0</v>
          </cell>
          <cell r="E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</row>
        <row r="1184">
          <cell r="A1184">
            <v>210040101</v>
          </cell>
          <cell r="B1184" t="str">
            <v>DOM A/C USD EXPORT PROCEEDS (251</v>
          </cell>
          <cell r="C1184">
            <v>0</v>
          </cell>
          <cell r="D1184">
            <v>4632117553.9399996</v>
          </cell>
          <cell r="E1184">
            <v>4632117553.9399996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4632117553.9399996</v>
          </cell>
          <cell r="T1184">
            <v>4632117553.9399996</v>
          </cell>
        </row>
        <row r="1185">
          <cell r="A1185">
            <v>210040201</v>
          </cell>
          <cell r="B1185" t="str">
            <v>DOM A/C USD NON EXP PROCEEDS (25</v>
          </cell>
          <cell r="C1185">
            <v>0</v>
          </cell>
          <cell r="D1185">
            <v>0</v>
          </cell>
          <cell r="E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</row>
        <row r="1186">
          <cell r="A1186">
            <v>210040203</v>
          </cell>
          <cell r="B1186" t="str">
            <v>DEMAND DEPOSIT FCY C/A -USD</v>
          </cell>
          <cell r="C1186">
            <v>0</v>
          </cell>
          <cell r="D1186">
            <v>467833438.12</v>
          </cell>
          <cell r="E1186">
            <v>467833438.12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467833438.12</v>
          </cell>
          <cell r="T1186">
            <v>467833438.12</v>
          </cell>
        </row>
        <row r="1187">
          <cell r="A1187">
            <v>210050101</v>
          </cell>
          <cell r="B1187" t="str">
            <v>PREPAID CREDIT CARD (VISA INTL)</v>
          </cell>
          <cell r="C1187">
            <v>0</v>
          </cell>
          <cell r="D1187">
            <v>442596525.43000001</v>
          </cell>
          <cell r="E1187">
            <v>442596525.43000001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442596525.43000001</v>
          </cell>
          <cell r="T1187">
            <v>442596525.43000001</v>
          </cell>
        </row>
        <row r="1188">
          <cell r="A1188">
            <v>210050102</v>
          </cell>
          <cell r="B1188" t="str">
            <v>PLATINUM CREDIT CARD (VISA INTL)</v>
          </cell>
          <cell r="C1188">
            <v>0</v>
          </cell>
          <cell r="D1188">
            <v>22877650325.630001</v>
          </cell>
          <cell r="E1188">
            <v>22877650325.630001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22877650325.630001</v>
          </cell>
          <cell r="T1188">
            <v>22877650325.630001</v>
          </cell>
        </row>
        <row r="1189">
          <cell r="A1189" t="str">
            <v>_x0012_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</row>
        <row r="1190"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</row>
        <row r="1191">
          <cell r="C1191" t="str">
            <v>Polaris Bank Limited, N</v>
          </cell>
          <cell r="D1191" t="str">
            <v>igeria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</row>
        <row r="1192">
          <cell r="C1192" t="str">
            <v>** Consolidated Balance Shee</v>
          </cell>
          <cell r="D1192" t="str">
            <v>t CBN **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</row>
        <row r="1193"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</row>
        <row r="1194">
          <cell r="C1194" t="str">
            <v>As on :     31-OCT-2025</v>
          </cell>
          <cell r="E1194" t="str">
            <v>Page   :   22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</row>
        <row r="1195"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</row>
        <row r="1196">
          <cell r="A1196" t="str">
            <v>User Id :</v>
          </cell>
          <cell r="B1196" t="str">
            <v>SYSTEM</v>
          </cell>
          <cell r="C1196" t="str">
            <v>Date 1 Time :     01-NOV-2025</v>
          </cell>
          <cell r="D1196">
            <v>0.21625000000000003</v>
          </cell>
          <cell r="E1196" t="str">
            <v>Module :   GL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</row>
        <row r="1197">
          <cell r="A1197" t="str">
            <v>----------</v>
          </cell>
          <cell r="B1197" t="str">
            <v>----------------------------------------</v>
          </cell>
          <cell r="C1197" t="str">
            <v>------------------------------</v>
          </cell>
          <cell r="D1197" t="str">
            <v>------------------------------</v>
          </cell>
          <cell r="E1197" t="str">
            <v>----------------------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</row>
        <row r="1198">
          <cell r="A1198" t="str">
            <v>GL Code</v>
          </cell>
          <cell r="B1198" t="str">
            <v>Description</v>
          </cell>
          <cell r="C1198" t="str">
            <v>LCY Amount</v>
          </cell>
          <cell r="D1198" t="str">
            <v>FCY Amount (Lcy Eq)</v>
          </cell>
          <cell r="E1198" t="str">
            <v>Total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</row>
        <row r="1199"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</row>
        <row r="1200">
          <cell r="A1200" t="str">
            <v>----------</v>
          </cell>
          <cell r="B1200" t="str">
            <v>----------------------------------------</v>
          </cell>
          <cell r="C1200" t="str">
            <v>------------------------------</v>
          </cell>
          <cell r="D1200" t="str">
            <v>------------------------------</v>
          </cell>
          <cell r="E1200" t="str">
            <v>----------------------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</row>
        <row r="1201">
          <cell r="A1201" t="str">
            <v>Liability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</row>
        <row r="1202"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</row>
        <row r="1203">
          <cell r="A1203">
            <v>210050103</v>
          </cell>
          <cell r="B1203" t="str">
            <v>POLARISCARD MASTERCARD SCHEME GL</v>
          </cell>
          <cell r="C1203">
            <v>252901.28</v>
          </cell>
          <cell r="D1203">
            <v>264801498.61000001</v>
          </cell>
          <cell r="E1203">
            <v>265054399.88999999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265054399.88999999</v>
          </cell>
          <cell r="T1203">
            <v>265054399.88999999</v>
          </cell>
        </row>
        <row r="1204">
          <cell r="A1204">
            <v>210050104</v>
          </cell>
          <cell r="B1204" t="str">
            <v>C/A  VALUCARD FLOAT</v>
          </cell>
          <cell r="C1204">
            <v>6872</v>
          </cell>
          <cell r="D1204">
            <v>0</v>
          </cell>
          <cell r="E1204">
            <v>6872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6872</v>
          </cell>
          <cell r="T1204">
            <v>6872</v>
          </cell>
        </row>
        <row r="1205">
          <cell r="A1205">
            <v>210050106</v>
          </cell>
          <cell r="B1205" t="str">
            <v>FLEXCARD ACCOUNT</v>
          </cell>
          <cell r="C1205">
            <v>729014308.74000001</v>
          </cell>
          <cell r="D1205">
            <v>645878.27</v>
          </cell>
          <cell r="E1205">
            <v>729660187.00999999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729660187.00999999</v>
          </cell>
          <cell r="T1205">
            <v>729660187.00999999</v>
          </cell>
        </row>
        <row r="1206">
          <cell r="A1206">
            <v>210050107</v>
          </cell>
          <cell r="B1206" t="str">
            <v>POLARISCARD SALARY CREDIT CARD F</v>
          </cell>
          <cell r="C1206">
            <v>8375750.5800000001</v>
          </cell>
          <cell r="D1206">
            <v>0</v>
          </cell>
          <cell r="E1206">
            <v>8375750.5800000001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8375750.5800000001</v>
          </cell>
          <cell r="T1206">
            <v>8375750.5800000001</v>
          </cell>
        </row>
        <row r="1207">
          <cell r="A1207">
            <v>210050108</v>
          </cell>
          <cell r="B1207" t="str">
            <v>POLARISCARD STANDARD CREDIT CARD</v>
          </cell>
          <cell r="C1207">
            <v>93131478.609999999</v>
          </cell>
          <cell r="D1207">
            <v>0</v>
          </cell>
          <cell r="E1207">
            <v>93131478.609999999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93131478.609999999</v>
          </cell>
          <cell r="T1207">
            <v>93131478.609999999</v>
          </cell>
        </row>
        <row r="1208">
          <cell r="A1208">
            <v>210050109</v>
          </cell>
          <cell r="B1208" t="str">
            <v>GOLD CREDIT CARD (VISA INTL)</v>
          </cell>
          <cell r="C1208">
            <v>0</v>
          </cell>
          <cell r="D1208">
            <v>3053084938.25</v>
          </cell>
          <cell r="E1208">
            <v>3053084938.25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3053084938.25</v>
          </cell>
          <cell r="T1208">
            <v>3053084938.25</v>
          </cell>
        </row>
        <row r="1209">
          <cell r="A1209">
            <v>210050110</v>
          </cell>
          <cell r="B1209" t="str">
            <v>POLARIS BRONZE WALLET (601)</v>
          </cell>
          <cell r="C1209">
            <v>159843178.30000001</v>
          </cell>
          <cell r="D1209">
            <v>0</v>
          </cell>
          <cell r="E1209">
            <v>159843178.30000001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159843178.30000001</v>
          </cell>
          <cell r="T1209">
            <v>159843178.30000001</v>
          </cell>
        </row>
        <row r="1210">
          <cell r="A1210">
            <v>210050111</v>
          </cell>
          <cell r="B1210" t="str">
            <v>POLARIS SILVER WALLET (602)</v>
          </cell>
          <cell r="C1210">
            <v>-7.0000000000000007E-2</v>
          </cell>
          <cell r="D1210">
            <v>250166346.12</v>
          </cell>
          <cell r="E1210">
            <v>250166346.05000001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250166346.05000001</v>
          </cell>
          <cell r="T1210">
            <v>250166346.05000001</v>
          </cell>
        </row>
        <row r="1211">
          <cell r="A1211">
            <v>210050112</v>
          </cell>
          <cell r="B1211" t="str">
            <v>POLARIS GOLD WALLET (603)</v>
          </cell>
          <cell r="C1211">
            <v>5990697.2999999998</v>
          </cell>
          <cell r="D1211">
            <v>0</v>
          </cell>
          <cell r="E1211">
            <v>5990697.2999999998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5990697.2999999998</v>
          </cell>
          <cell r="T1211">
            <v>5990697.2999999998</v>
          </cell>
        </row>
        <row r="1212">
          <cell r="A1212">
            <v>210050113</v>
          </cell>
          <cell r="B1212" t="str">
            <v>PTA- BTA CARD</v>
          </cell>
          <cell r="C1212">
            <v>0</v>
          </cell>
          <cell r="D1212">
            <v>11552.22</v>
          </cell>
          <cell r="E1212">
            <v>11552.22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11552.22</v>
          </cell>
          <cell r="T1212">
            <v>11552.22</v>
          </cell>
        </row>
        <row r="1213">
          <cell r="A1213">
            <v>210061101</v>
          </cell>
          <cell r="B1213" t="str">
            <v>INT. PAYABLE - STD C/A   CORPORA</v>
          </cell>
          <cell r="C1213">
            <v>6776234.04</v>
          </cell>
          <cell r="D1213">
            <v>362448.65</v>
          </cell>
          <cell r="E1213">
            <v>7138682.6900000004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7138682.6900000004</v>
          </cell>
          <cell r="T1213">
            <v>7138682.6900000004</v>
          </cell>
        </row>
        <row r="1214">
          <cell r="A1214">
            <v>210061102</v>
          </cell>
          <cell r="B1214" t="str">
            <v>INT. PAYABLE - POLARIS CORPORATE</v>
          </cell>
          <cell r="C1214">
            <v>1562160.49</v>
          </cell>
          <cell r="D1214">
            <v>0</v>
          </cell>
          <cell r="E1214">
            <v>1562160.49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1562160.49</v>
          </cell>
          <cell r="T1214">
            <v>1562160.49</v>
          </cell>
        </row>
        <row r="1215">
          <cell r="A1215">
            <v>210061103</v>
          </cell>
          <cell r="B1215" t="str">
            <v>INT. PAYABLE - POLARIS ENTERPRIS</v>
          </cell>
          <cell r="C1215">
            <v>0</v>
          </cell>
          <cell r="D1215">
            <v>0</v>
          </cell>
          <cell r="E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</row>
        <row r="1216">
          <cell r="A1216">
            <v>210061201</v>
          </cell>
          <cell r="B1216" t="str">
            <v>INT. PAYABLE - STD C/A   INDIVID</v>
          </cell>
          <cell r="C1216">
            <v>0</v>
          </cell>
          <cell r="D1216">
            <v>4118.34</v>
          </cell>
          <cell r="E1216">
            <v>4118.34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4118.34</v>
          </cell>
          <cell r="T1216">
            <v>4118.34</v>
          </cell>
        </row>
        <row r="1217">
          <cell r="A1217">
            <v>210061202</v>
          </cell>
          <cell r="B1217" t="str">
            <v>INT. PAYABLE - STD C/A   SALARY</v>
          </cell>
          <cell r="C1217">
            <v>0</v>
          </cell>
          <cell r="D1217">
            <v>14.26</v>
          </cell>
          <cell r="E1217">
            <v>14.26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14.26</v>
          </cell>
          <cell r="T1217">
            <v>14.26</v>
          </cell>
        </row>
        <row r="1218">
          <cell r="A1218">
            <v>210061203</v>
          </cell>
          <cell r="B1218" t="str">
            <v>INT. PAYABLE - C/AS   LCY STAFF</v>
          </cell>
          <cell r="C1218">
            <v>-246531.48</v>
          </cell>
          <cell r="D1218">
            <v>2548.21</v>
          </cell>
          <cell r="E1218">
            <v>-243983.27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-243983.27</v>
          </cell>
          <cell r="T1218">
            <v>-243983.27</v>
          </cell>
        </row>
        <row r="1219">
          <cell r="A1219">
            <v>210061301</v>
          </cell>
          <cell r="B1219" t="str">
            <v>INT. PAYABLE - C/A FEDERAL GOVT</v>
          </cell>
          <cell r="C1219">
            <v>0</v>
          </cell>
          <cell r="D1219">
            <v>0</v>
          </cell>
          <cell r="E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</row>
        <row r="1220">
          <cell r="A1220">
            <v>210061302</v>
          </cell>
          <cell r="B1220" t="str">
            <v>INT. PAYABLE - C/A FEDERAL PARAS</v>
          </cell>
          <cell r="C1220">
            <v>0</v>
          </cell>
          <cell r="D1220">
            <v>0</v>
          </cell>
          <cell r="E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</row>
        <row r="1221">
          <cell r="A1221">
            <v>210061303</v>
          </cell>
          <cell r="B1221" t="str">
            <v>INT. PAYABLE - C/A STATE GOVT</v>
          </cell>
          <cell r="C1221">
            <v>0</v>
          </cell>
          <cell r="D1221">
            <v>0</v>
          </cell>
          <cell r="E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</row>
        <row r="1222">
          <cell r="A1222">
            <v>210061304</v>
          </cell>
          <cell r="B1222" t="str">
            <v>INT. PAYABLE - C/A STATE PARASTA</v>
          </cell>
          <cell r="C1222">
            <v>0</v>
          </cell>
          <cell r="D1222">
            <v>0</v>
          </cell>
          <cell r="E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</row>
        <row r="1223">
          <cell r="A1223">
            <v>210061305</v>
          </cell>
          <cell r="B1223" t="str">
            <v>INT. PAYABLE - C/A LOCAL GOVT</v>
          </cell>
          <cell r="C1223">
            <v>0</v>
          </cell>
          <cell r="D1223">
            <v>0</v>
          </cell>
          <cell r="E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</row>
        <row r="1224">
          <cell r="A1224">
            <v>210062101</v>
          </cell>
          <cell r="B1224" t="str">
            <v>INT. PAYABLE - STD S/A   LCY  IN</v>
          </cell>
          <cell r="C1224">
            <v>135446776.78</v>
          </cell>
          <cell r="D1224">
            <v>30217085.68</v>
          </cell>
          <cell r="E1224">
            <v>165663862.46000001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165663862.46000001</v>
          </cell>
          <cell r="T1224">
            <v>165663862.46000001</v>
          </cell>
        </row>
        <row r="1225">
          <cell r="A1225">
            <v>210062103</v>
          </cell>
          <cell r="B1225" t="str">
            <v>INT. PAYABLE - STD S/A  WORKPLAC</v>
          </cell>
          <cell r="C1225">
            <v>699769.04</v>
          </cell>
          <cell r="D1225">
            <v>0</v>
          </cell>
          <cell r="E1225">
            <v>699769.04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699769.04</v>
          </cell>
          <cell r="T1225">
            <v>699769.04</v>
          </cell>
        </row>
        <row r="1226">
          <cell r="A1226">
            <v>210062104</v>
          </cell>
          <cell r="B1226" t="str">
            <v>INT. PAYABLE - POLARIS FLEX (302</v>
          </cell>
          <cell r="C1226">
            <v>109033.85</v>
          </cell>
          <cell r="D1226">
            <v>0</v>
          </cell>
          <cell r="E1226">
            <v>109033.85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109033.85</v>
          </cell>
          <cell r="T1226">
            <v>109033.85</v>
          </cell>
        </row>
        <row r="1227">
          <cell r="A1227">
            <v>210062105</v>
          </cell>
          <cell r="B1227" t="str">
            <v>INT. PAYABLE - POLARIS EASE (303</v>
          </cell>
          <cell r="C1227">
            <v>32464.69</v>
          </cell>
          <cell r="D1227">
            <v>0</v>
          </cell>
          <cell r="E1227">
            <v>32464.69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32464.69</v>
          </cell>
          <cell r="T1227">
            <v>32464.69</v>
          </cell>
        </row>
        <row r="1228">
          <cell r="A1228">
            <v>210062106</v>
          </cell>
          <cell r="B1228" t="str">
            <v>INT. PAYABLE - STD S/A CAMPUSPLU</v>
          </cell>
          <cell r="C1228">
            <v>68564.77</v>
          </cell>
          <cell r="D1228">
            <v>0</v>
          </cell>
          <cell r="E1228">
            <v>68564.77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68564.77</v>
          </cell>
          <cell r="T1228">
            <v>68564.77</v>
          </cell>
        </row>
        <row r="1229">
          <cell r="A1229">
            <v>210062108</v>
          </cell>
          <cell r="B1229" t="str">
            <v>INT. PAYABLE - S/AS   LCY STAFF</v>
          </cell>
          <cell r="C1229">
            <v>192739.63</v>
          </cell>
          <cell r="D1229">
            <v>213.93</v>
          </cell>
          <cell r="E1229">
            <v>192953.56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192953.56</v>
          </cell>
          <cell r="T1229">
            <v>192953.56</v>
          </cell>
        </row>
        <row r="1230">
          <cell r="A1230">
            <v>210062110</v>
          </cell>
          <cell r="B1230" t="str">
            <v>INT. PAYABLE - DORMANT S/AS</v>
          </cell>
          <cell r="C1230">
            <v>0</v>
          </cell>
          <cell r="D1230">
            <v>0</v>
          </cell>
          <cell r="E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</row>
        <row r="1231">
          <cell r="A1231">
            <v>210062112</v>
          </cell>
          <cell r="B1231" t="str">
            <v>INT. PAYABLE - STAFF PEN. SAVING</v>
          </cell>
          <cell r="C1231">
            <v>155.05000000000001</v>
          </cell>
          <cell r="D1231">
            <v>0</v>
          </cell>
          <cell r="E1231">
            <v>155.05000000000001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155.05000000000001</v>
          </cell>
          <cell r="T1231">
            <v>155.05000000000001</v>
          </cell>
        </row>
        <row r="1232">
          <cell r="A1232">
            <v>210062201</v>
          </cell>
          <cell r="B1232" t="str">
            <v>INT. PAYABLE - POLARIS RAINBOW S</v>
          </cell>
          <cell r="C1232">
            <v>643921.68999999994</v>
          </cell>
          <cell r="D1232">
            <v>0</v>
          </cell>
          <cell r="E1232">
            <v>643921.68999999994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643921.68999999994</v>
          </cell>
          <cell r="T1232">
            <v>643921.68999999994</v>
          </cell>
        </row>
        <row r="1233">
          <cell r="A1233">
            <v>210062202</v>
          </cell>
          <cell r="B1233" t="str">
            <v>INT. PAYABLE - POLARIS MONEYWISE</v>
          </cell>
          <cell r="C1233">
            <v>26224672.91</v>
          </cell>
          <cell r="D1233">
            <v>0</v>
          </cell>
          <cell r="E1233">
            <v>26224672.91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26224672.91</v>
          </cell>
          <cell r="T1233">
            <v>26224672.91</v>
          </cell>
        </row>
        <row r="1234">
          <cell r="A1234">
            <v>210062204</v>
          </cell>
          <cell r="B1234" t="str">
            <v>INT. PAYABLE - POLARIS SELECT AC</v>
          </cell>
          <cell r="C1234">
            <v>-9438.06</v>
          </cell>
          <cell r="D1234">
            <v>0</v>
          </cell>
          <cell r="E1234">
            <v>-9438.06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-9438.06</v>
          </cell>
          <cell r="T1234">
            <v>-9438.06</v>
          </cell>
        </row>
        <row r="1235">
          <cell r="A1235">
            <v>210062206</v>
          </cell>
          <cell r="B1235" t="str">
            <v>INT. PAYABLE - POLARIS GLOBAL AC</v>
          </cell>
          <cell r="C1235">
            <v>0</v>
          </cell>
          <cell r="D1235">
            <v>-290.60000000000002</v>
          </cell>
          <cell r="E1235">
            <v>-290.60000000000002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-290.60000000000002</v>
          </cell>
          <cell r="T1235">
            <v>-290.60000000000002</v>
          </cell>
        </row>
        <row r="1236">
          <cell r="A1236">
            <v>210062209</v>
          </cell>
          <cell r="B1236" t="str">
            <v>INT. PAYABLE - EDUCARE DEPOSIT A</v>
          </cell>
          <cell r="C1236">
            <v>0</v>
          </cell>
          <cell r="D1236">
            <v>0</v>
          </cell>
          <cell r="E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</row>
        <row r="1237">
          <cell r="A1237">
            <v>210062211</v>
          </cell>
          <cell r="B1237" t="str">
            <v>INT. PAYABLE - POLARISXCEL CORPO</v>
          </cell>
          <cell r="C1237">
            <v>-30084.18</v>
          </cell>
          <cell r="D1237">
            <v>0</v>
          </cell>
          <cell r="E1237">
            <v>-30084.18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-30084.18</v>
          </cell>
          <cell r="T1237">
            <v>-30084.18</v>
          </cell>
        </row>
        <row r="1238">
          <cell r="A1238">
            <v>210062212</v>
          </cell>
          <cell r="B1238" t="str">
            <v>INT. PAYABLE - POLARIS BUSINESS</v>
          </cell>
          <cell r="C1238">
            <v>-941.83</v>
          </cell>
          <cell r="D1238">
            <v>0</v>
          </cell>
          <cell r="E1238">
            <v>-941.83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-941.83</v>
          </cell>
          <cell r="T1238">
            <v>-941.83</v>
          </cell>
        </row>
        <row r="1239">
          <cell r="A1239">
            <v>210062219</v>
          </cell>
          <cell r="B1239" t="str">
            <v>INT. PAYABLE - POLARIS YOUNG ACH</v>
          </cell>
          <cell r="C1239">
            <v>475337.6</v>
          </cell>
          <cell r="D1239">
            <v>0</v>
          </cell>
          <cell r="E1239">
            <v>475337.6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475337.6</v>
          </cell>
          <cell r="T1239">
            <v>475337.6</v>
          </cell>
        </row>
        <row r="1240">
          <cell r="A1240">
            <v>210062220</v>
          </cell>
          <cell r="B1240" t="str">
            <v>INT. PAYABLE - POLARIS PEARL ACC</v>
          </cell>
          <cell r="C1240">
            <v>26.22</v>
          </cell>
          <cell r="D1240">
            <v>0</v>
          </cell>
          <cell r="E1240">
            <v>26.22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26.22</v>
          </cell>
          <cell r="T1240">
            <v>26.22</v>
          </cell>
        </row>
        <row r="1241">
          <cell r="A1241">
            <v>210062221</v>
          </cell>
          <cell r="B1241" t="str">
            <v>INT. PAYABLE - POLARIS PEARL ACC</v>
          </cell>
          <cell r="C1241">
            <v>0</v>
          </cell>
          <cell r="D1241">
            <v>0</v>
          </cell>
          <cell r="E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</row>
        <row r="1242">
          <cell r="A1242">
            <v>210062222</v>
          </cell>
          <cell r="B1242" t="str">
            <v>INT. PAYABLE - POLARIS PEARL ACC</v>
          </cell>
          <cell r="C1242">
            <v>-118.32</v>
          </cell>
          <cell r="D1242">
            <v>0</v>
          </cell>
          <cell r="E1242">
            <v>-118.32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-118.32</v>
          </cell>
          <cell r="T1242">
            <v>-118.32</v>
          </cell>
        </row>
        <row r="1243">
          <cell r="A1243">
            <v>210062223</v>
          </cell>
          <cell r="B1243" t="str">
            <v>INT. PAYABLE - POLARIS SENIOR HY</v>
          </cell>
          <cell r="C1243">
            <v>0</v>
          </cell>
          <cell r="D1243">
            <v>0</v>
          </cell>
          <cell r="E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</row>
        <row r="1244">
          <cell r="A1244">
            <v>210063202</v>
          </cell>
          <cell r="B1244" t="str">
            <v>INT. PAYABLE - TERM DEPOSITS -LC</v>
          </cell>
          <cell r="C1244">
            <v>0</v>
          </cell>
          <cell r="D1244">
            <v>0</v>
          </cell>
          <cell r="E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</row>
        <row r="1245">
          <cell r="A1245">
            <v>210063203</v>
          </cell>
          <cell r="B1245" t="str">
            <v>INT. PAYABLE - TERM DEPOSITS   L</v>
          </cell>
          <cell r="C1245">
            <v>0</v>
          </cell>
          <cell r="D1245">
            <v>0</v>
          </cell>
          <cell r="E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</row>
        <row r="1246">
          <cell r="A1246">
            <v>210063204</v>
          </cell>
          <cell r="B1246" t="str">
            <v>INT. PAYABLE - TERM DEPOSISTS LC</v>
          </cell>
          <cell r="C1246">
            <v>0</v>
          </cell>
          <cell r="D1246">
            <v>0</v>
          </cell>
          <cell r="E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</row>
        <row r="1247">
          <cell r="A1247" t="str">
            <v>_x0012_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</row>
        <row r="1248"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</row>
        <row r="1249">
          <cell r="C1249" t="str">
            <v>Polaris Bank Limited, N</v>
          </cell>
          <cell r="D1249" t="str">
            <v>igeria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</row>
        <row r="1250">
          <cell r="C1250" t="str">
            <v>** Consolidated Balance Shee</v>
          </cell>
          <cell r="D1250" t="str">
            <v>t CBN **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</row>
        <row r="1251"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</row>
        <row r="1252">
          <cell r="C1252" t="str">
            <v>As on :     31-OCT-2025</v>
          </cell>
          <cell r="E1252" t="str">
            <v>Page   :   23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</row>
        <row r="1253"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</row>
        <row r="1254">
          <cell r="A1254" t="str">
            <v>User Id :</v>
          </cell>
          <cell r="B1254" t="str">
            <v>SYSTEM</v>
          </cell>
          <cell r="C1254" t="str">
            <v>Date 1 Time :     01-NOV-2025</v>
          </cell>
          <cell r="D1254">
            <v>0.21625000000000003</v>
          </cell>
          <cell r="E1254" t="str">
            <v>Module :   GL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</row>
        <row r="1255">
          <cell r="A1255" t="str">
            <v>----------</v>
          </cell>
          <cell r="B1255" t="str">
            <v>----------------------------------------</v>
          </cell>
          <cell r="C1255" t="str">
            <v>------------------------------</v>
          </cell>
          <cell r="D1255" t="str">
            <v>------------------------------</v>
          </cell>
          <cell r="E1255" t="str">
            <v>----------------------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</row>
        <row r="1256">
          <cell r="A1256" t="str">
            <v>GL Code</v>
          </cell>
          <cell r="B1256" t="str">
            <v>Description</v>
          </cell>
          <cell r="C1256" t="str">
            <v>LCY Amount</v>
          </cell>
          <cell r="D1256" t="str">
            <v>FCY Amount (Lcy Eq)</v>
          </cell>
          <cell r="E1256" t="str">
            <v>Total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</row>
        <row r="1257"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</row>
        <row r="1258">
          <cell r="A1258" t="str">
            <v>----------</v>
          </cell>
          <cell r="B1258" t="str">
            <v>----------------------------------------</v>
          </cell>
          <cell r="C1258" t="str">
            <v>------------------------------</v>
          </cell>
          <cell r="D1258" t="str">
            <v>------------------------------</v>
          </cell>
          <cell r="E1258" t="str">
            <v>----------------------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</row>
        <row r="1259">
          <cell r="A1259" t="str">
            <v>Liability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</row>
        <row r="1260"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</row>
        <row r="1261">
          <cell r="A1261">
            <v>210063205</v>
          </cell>
          <cell r="B1261" t="str">
            <v>INT. PAYABLE - TERM DEPOSITS - L</v>
          </cell>
          <cell r="C1261">
            <v>9482434487.7399998</v>
          </cell>
          <cell r="D1261">
            <v>395756855.92000002</v>
          </cell>
          <cell r="E1261">
            <v>9878191343.6599998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9878191343.6599998</v>
          </cell>
          <cell r="T1261">
            <v>9878191343.6599998</v>
          </cell>
        </row>
        <row r="1262">
          <cell r="A1262">
            <v>210063208</v>
          </cell>
          <cell r="B1262" t="str">
            <v>INT. PAYABLE - TERM DEPOSIT FEDE</v>
          </cell>
          <cell r="C1262">
            <v>0</v>
          </cell>
          <cell r="D1262">
            <v>0</v>
          </cell>
          <cell r="E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</row>
        <row r="1263">
          <cell r="A1263">
            <v>210063210</v>
          </cell>
          <cell r="B1263" t="str">
            <v>INT. PAYABLE - TERM DEPOSIT STAT</v>
          </cell>
          <cell r="C1263">
            <v>0</v>
          </cell>
          <cell r="D1263">
            <v>0</v>
          </cell>
          <cell r="E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</row>
        <row r="1264">
          <cell r="A1264">
            <v>210063216</v>
          </cell>
          <cell r="B1264" t="str">
            <v>INT PAYABLE- POLARIS HIGH YIELD</v>
          </cell>
          <cell r="C1264">
            <v>0</v>
          </cell>
          <cell r="D1264">
            <v>0</v>
          </cell>
          <cell r="E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</row>
        <row r="1265">
          <cell r="A1265">
            <v>210064101</v>
          </cell>
          <cell r="B1265" t="str">
            <v>INT. PAYABLE - DOM A/C USD EXPOR</v>
          </cell>
          <cell r="C1265">
            <v>0</v>
          </cell>
          <cell r="D1265">
            <v>0</v>
          </cell>
          <cell r="E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</row>
        <row r="1266">
          <cell r="A1266">
            <v>210064209</v>
          </cell>
          <cell r="B1266" t="str">
            <v>ZONE SWITCH PAYABLE GL</v>
          </cell>
          <cell r="C1266">
            <v>0</v>
          </cell>
          <cell r="D1266">
            <v>0</v>
          </cell>
          <cell r="E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</row>
        <row r="1267">
          <cell r="A1267">
            <v>220010100</v>
          </cell>
          <cell r="B1267" t="str">
            <v>INTERBANK TAKINGS   TERM</v>
          </cell>
          <cell r="C1267">
            <v>0</v>
          </cell>
          <cell r="D1267">
            <v>0</v>
          </cell>
          <cell r="E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</row>
        <row r="1268">
          <cell r="A1268">
            <v>220010300</v>
          </cell>
          <cell r="B1268" t="str">
            <v>INTERBANK TAKINGS -OVERNIGHT</v>
          </cell>
          <cell r="C1268">
            <v>0</v>
          </cell>
          <cell r="D1268">
            <v>0</v>
          </cell>
          <cell r="E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</row>
        <row r="1269">
          <cell r="A1269">
            <v>220030000</v>
          </cell>
          <cell r="B1269" t="str">
            <v>COMMERCIAL PAPERS (SOLD)</v>
          </cell>
          <cell r="C1269">
            <v>0</v>
          </cell>
          <cell r="D1269">
            <v>0</v>
          </cell>
          <cell r="E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</row>
        <row r="1270">
          <cell r="A1270">
            <v>220040100</v>
          </cell>
          <cell r="B1270" t="str">
            <v>INT. PAYABLE  INTERBANK TAKINGS</v>
          </cell>
          <cell r="C1270">
            <v>0</v>
          </cell>
          <cell r="D1270">
            <v>0</v>
          </cell>
          <cell r="E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</row>
        <row r="1271">
          <cell r="A1271">
            <v>230000020</v>
          </cell>
          <cell r="B1271" t="str">
            <v>FOREIGN FACILITY ACCOUNT</v>
          </cell>
          <cell r="C1271">
            <v>0</v>
          </cell>
          <cell r="D1271">
            <v>0</v>
          </cell>
          <cell r="E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</row>
        <row r="1272">
          <cell r="A1272">
            <v>230000025</v>
          </cell>
          <cell r="B1272" t="str">
            <v>LOCAL BORROWINGS</v>
          </cell>
          <cell r="C1272">
            <v>0</v>
          </cell>
          <cell r="D1272">
            <v>0</v>
          </cell>
          <cell r="E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</row>
        <row r="1273">
          <cell r="A1273">
            <v>230000030</v>
          </cell>
          <cell r="B1273" t="str">
            <v>SIERRA LEONE INFLOW &amp; OUTFLOW</v>
          </cell>
          <cell r="C1273">
            <v>0</v>
          </cell>
          <cell r="D1273">
            <v>0</v>
          </cell>
          <cell r="E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</row>
        <row r="1274">
          <cell r="A1274">
            <v>230000040</v>
          </cell>
          <cell r="B1274" t="str">
            <v>CBN FACILITY -AGRICULTURAL SCHEM</v>
          </cell>
          <cell r="C1274">
            <v>0</v>
          </cell>
          <cell r="D1274">
            <v>0</v>
          </cell>
          <cell r="E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</row>
        <row r="1275">
          <cell r="A1275">
            <v>230000070</v>
          </cell>
          <cell r="B1275" t="str">
            <v>CBN FACILITY -MANUFACTURING  SCH</v>
          </cell>
          <cell r="C1275">
            <v>0</v>
          </cell>
          <cell r="D1275">
            <v>0</v>
          </cell>
          <cell r="E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</row>
        <row r="1276">
          <cell r="A1276">
            <v>230000080</v>
          </cell>
          <cell r="B1276" t="str">
            <v>CBN FACILITY -AVIATION GL</v>
          </cell>
          <cell r="C1276">
            <v>0</v>
          </cell>
          <cell r="D1276">
            <v>0</v>
          </cell>
          <cell r="E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</row>
        <row r="1277">
          <cell r="A1277">
            <v>230000130</v>
          </cell>
          <cell r="B1277" t="str">
            <v>AMORTIZED COST û OTHER BORROWING</v>
          </cell>
          <cell r="C1277">
            <v>0</v>
          </cell>
          <cell r="D1277">
            <v>0</v>
          </cell>
          <cell r="E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</row>
        <row r="1278">
          <cell r="A1278">
            <v>230000170</v>
          </cell>
          <cell r="B1278" t="str">
            <v>INT. PAYABLE- LOCAL FACILITY</v>
          </cell>
          <cell r="C1278">
            <v>5508522.0800000001</v>
          </cell>
          <cell r="D1278">
            <v>0</v>
          </cell>
          <cell r="E1278">
            <v>5508522.0800000001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5508522.0800000001</v>
          </cell>
          <cell r="T1278">
            <v>5508522.0800000001</v>
          </cell>
        </row>
        <row r="1279">
          <cell r="A1279">
            <v>230000180</v>
          </cell>
          <cell r="B1279" t="str">
            <v>CBN REAL SECTOR SUPPORT FACILITY</v>
          </cell>
          <cell r="C1279">
            <v>0</v>
          </cell>
          <cell r="D1279">
            <v>0</v>
          </cell>
          <cell r="E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</row>
        <row r="1280">
          <cell r="A1280">
            <v>230000181</v>
          </cell>
          <cell r="B1280" t="str">
            <v>INT PAYABLE- CBN HEALTH SECTOR L</v>
          </cell>
          <cell r="C1280">
            <v>1979549.9</v>
          </cell>
          <cell r="D1280">
            <v>0</v>
          </cell>
          <cell r="E1280">
            <v>1979549.9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1979549.9</v>
          </cell>
          <cell r="T1280">
            <v>1979549.9</v>
          </cell>
        </row>
        <row r="1281">
          <cell r="A1281">
            <v>230000182</v>
          </cell>
          <cell r="B1281" t="str">
            <v>INT PAYABLE- CBN STATE GOVT BAIL</v>
          </cell>
          <cell r="C1281">
            <v>212303145.93000001</v>
          </cell>
          <cell r="D1281">
            <v>0</v>
          </cell>
          <cell r="E1281">
            <v>212303145.93000001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212303145.93000001</v>
          </cell>
          <cell r="T1281">
            <v>212303145.93000001</v>
          </cell>
        </row>
        <row r="1282">
          <cell r="A1282">
            <v>230000183</v>
          </cell>
          <cell r="B1282" t="str">
            <v>INT PAYABLE- CBN INTERVENTION (E</v>
          </cell>
          <cell r="C1282">
            <v>74027951.790000007</v>
          </cell>
          <cell r="D1282">
            <v>0</v>
          </cell>
          <cell r="E1282">
            <v>74027951.790000007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74027951.790000007</v>
          </cell>
          <cell r="T1282">
            <v>74027951.790000007</v>
          </cell>
        </row>
        <row r="1283">
          <cell r="A1283">
            <v>230000184</v>
          </cell>
          <cell r="B1283" t="str">
            <v>INT PAYABLE- CBN INTERVEN (MEDIA</v>
          </cell>
          <cell r="C1283">
            <v>127279.3</v>
          </cell>
          <cell r="D1283">
            <v>0</v>
          </cell>
          <cell r="E1283">
            <v>127279.3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127279.3</v>
          </cell>
          <cell r="T1283">
            <v>127279.3</v>
          </cell>
        </row>
        <row r="1284">
          <cell r="A1284">
            <v>230000185</v>
          </cell>
          <cell r="B1284" t="str">
            <v>INT PAYABLE - BOI INTERVENTION F</v>
          </cell>
          <cell r="C1284">
            <v>0</v>
          </cell>
          <cell r="D1284">
            <v>0</v>
          </cell>
          <cell r="E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</row>
        <row r="1285">
          <cell r="A1285">
            <v>240011102</v>
          </cell>
          <cell r="B1285" t="str">
            <v>UNEARNED INC. - TERM LOANS   COR</v>
          </cell>
          <cell r="C1285">
            <v>0</v>
          </cell>
          <cell r="D1285">
            <v>0</v>
          </cell>
          <cell r="E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</row>
        <row r="1286">
          <cell r="A1286">
            <v>240011105</v>
          </cell>
          <cell r="B1286" t="str">
            <v>UNEARNED INC. - TERM LOANS-PROJE</v>
          </cell>
          <cell r="C1286">
            <v>300</v>
          </cell>
          <cell r="D1286">
            <v>0</v>
          </cell>
          <cell r="E1286">
            <v>300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300</v>
          </cell>
          <cell r="T1286">
            <v>300</v>
          </cell>
        </row>
        <row r="1287">
          <cell r="A1287">
            <v>240011207</v>
          </cell>
          <cell r="B1287" t="str">
            <v>UNEARNED INC. - LIFESTYLE  - LOA</v>
          </cell>
          <cell r="C1287">
            <v>339522.05</v>
          </cell>
          <cell r="D1287">
            <v>0</v>
          </cell>
          <cell r="E1287">
            <v>339522.05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339522.05</v>
          </cell>
          <cell r="T1287">
            <v>339522.05</v>
          </cell>
        </row>
        <row r="1288">
          <cell r="A1288">
            <v>240011209</v>
          </cell>
          <cell r="B1288" t="str">
            <v>UNEARNED INC. - CIG AUTO LOAN</v>
          </cell>
          <cell r="C1288">
            <v>163928179.83000001</v>
          </cell>
          <cell r="D1288">
            <v>0</v>
          </cell>
          <cell r="E1288">
            <v>163928179.83000001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163928179.83000001</v>
          </cell>
          <cell r="T1288">
            <v>163928179.83000001</v>
          </cell>
        </row>
        <row r="1289">
          <cell r="A1289">
            <v>240011214</v>
          </cell>
          <cell r="B1289" t="str">
            <v>UNEARNED INC. - RETAIL  AUTO LOA</v>
          </cell>
          <cell r="C1289">
            <v>1376000</v>
          </cell>
          <cell r="D1289">
            <v>0</v>
          </cell>
          <cell r="E1289">
            <v>1376000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1376000</v>
          </cell>
          <cell r="T1289">
            <v>1376000</v>
          </cell>
        </row>
        <row r="1290">
          <cell r="A1290">
            <v>240011251</v>
          </cell>
          <cell r="B1290" t="str">
            <v>UNEARNED INC.- RETAIL SBG - ASSE</v>
          </cell>
          <cell r="C1290">
            <v>2889843.45</v>
          </cell>
          <cell r="D1290">
            <v>0</v>
          </cell>
          <cell r="E1290">
            <v>2889843.45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2889843.45</v>
          </cell>
          <cell r="T1290">
            <v>2889843.45</v>
          </cell>
        </row>
        <row r="1291">
          <cell r="A1291">
            <v>240011306</v>
          </cell>
          <cell r="B1291" t="str">
            <v>UNEARNED INC. - BOND ISSUANCE ST</v>
          </cell>
          <cell r="C1291">
            <v>510118832.19</v>
          </cell>
          <cell r="D1291">
            <v>0</v>
          </cell>
          <cell r="E1291">
            <v>510118832.19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510118832.19</v>
          </cell>
          <cell r="T1291">
            <v>510118832.19</v>
          </cell>
        </row>
        <row r="1292">
          <cell r="A1292">
            <v>240020002</v>
          </cell>
          <cell r="B1292" t="str">
            <v>UNEARNED INC.   BANKERS ACCEPTAN</v>
          </cell>
          <cell r="C1292">
            <v>32394655.920000002</v>
          </cell>
          <cell r="D1292">
            <v>0</v>
          </cell>
          <cell r="E1292">
            <v>32394655.920000002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32394655.920000002</v>
          </cell>
          <cell r="T1292">
            <v>32394655.920000002</v>
          </cell>
        </row>
        <row r="1293">
          <cell r="A1293">
            <v>240020003</v>
          </cell>
          <cell r="B1293" t="str">
            <v>UNEARNED INC.   COMMERCIAL PAPER</v>
          </cell>
          <cell r="C1293">
            <v>0</v>
          </cell>
          <cell r="D1293">
            <v>0</v>
          </cell>
          <cell r="E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</row>
        <row r="1294">
          <cell r="A1294">
            <v>240020004</v>
          </cell>
          <cell r="B1294" t="str">
            <v>UNEARNED INC.   COMMITMENT FEES</v>
          </cell>
          <cell r="C1294">
            <v>8869.9699999999993</v>
          </cell>
          <cell r="D1294">
            <v>0</v>
          </cell>
          <cell r="E1294">
            <v>8869.9699999999993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8869.9699999999993</v>
          </cell>
          <cell r="T1294">
            <v>8869.9699999999993</v>
          </cell>
        </row>
        <row r="1295">
          <cell r="A1295">
            <v>240020005</v>
          </cell>
          <cell r="B1295" t="str">
            <v>UNEARNED INC.   LEASE RENTALS</v>
          </cell>
          <cell r="C1295">
            <v>184367516.44</v>
          </cell>
          <cell r="D1295">
            <v>0</v>
          </cell>
          <cell r="E1295">
            <v>184367516.44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184367516.44</v>
          </cell>
          <cell r="T1295">
            <v>184367516.44</v>
          </cell>
        </row>
        <row r="1296">
          <cell r="A1296">
            <v>240020006</v>
          </cell>
          <cell r="B1296" t="str">
            <v>UNEARNED INC.   LOAN AGREEMENT F</v>
          </cell>
          <cell r="C1296">
            <v>213554.54</v>
          </cell>
          <cell r="D1296">
            <v>0</v>
          </cell>
          <cell r="E1296">
            <v>213554.54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213554.54</v>
          </cell>
          <cell r="T1296">
            <v>213554.54</v>
          </cell>
        </row>
        <row r="1297">
          <cell r="A1297">
            <v>240020008</v>
          </cell>
          <cell r="B1297" t="str">
            <v>UNEARNED INC.   MGT. &amp; AGENCY FE</v>
          </cell>
          <cell r="C1297">
            <v>236386666.41999999</v>
          </cell>
          <cell r="D1297">
            <v>14.26</v>
          </cell>
          <cell r="E1297">
            <v>236386680.68000001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236386680.68000001</v>
          </cell>
          <cell r="T1297">
            <v>236386680.68000001</v>
          </cell>
        </row>
        <row r="1298">
          <cell r="A1298">
            <v>240020009</v>
          </cell>
          <cell r="B1298" t="str">
            <v>UNEARNED INC.   ACCEPTANCE FEES</v>
          </cell>
          <cell r="C1298">
            <v>8833.6299999999992</v>
          </cell>
          <cell r="D1298">
            <v>0</v>
          </cell>
          <cell r="E1298">
            <v>8833.6299999999992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8833.6299999999992</v>
          </cell>
          <cell r="T1298">
            <v>8833.6299999999992</v>
          </cell>
        </row>
        <row r="1299">
          <cell r="A1299">
            <v>240020010</v>
          </cell>
          <cell r="B1299" t="str">
            <v>UNEARNED INC.   ARRANGEMENT  FEE</v>
          </cell>
          <cell r="C1299">
            <v>94122.19</v>
          </cell>
          <cell r="D1299">
            <v>0</v>
          </cell>
          <cell r="E1299">
            <v>94122.19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94122.19</v>
          </cell>
          <cell r="T1299">
            <v>94122.19</v>
          </cell>
        </row>
        <row r="1300">
          <cell r="A1300">
            <v>240020011</v>
          </cell>
          <cell r="B1300" t="str">
            <v>UNEARNED INC.   ANNIVERSARY  FEE</v>
          </cell>
          <cell r="C1300">
            <v>29868877.460000001</v>
          </cell>
          <cell r="D1300">
            <v>0</v>
          </cell>
          <cell r="E1300">
            <v>29868877.460000001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29868877.460000001</v>
          </cell>
          <cell r="T1300">
            <v>29868877.460000001</v>
          </cell>
        </row>
        <row r="1301">
          <cell r="A1301">
            <v>240020012</v>
          </cell>
          <cell r="B1301" t="str">
            <v>UNEARNED INC. ADMINISTRATIVE   F</v>
          </cell>
          <cell r="C1301">
            <v>8869.99</v>
          </cell>
          <cell r="D1301">
            <v>0</v>
          </cell>
          <cell r="E1301">
            <v>8869.99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8869.99</v>
          </cell>
          <cell r="T1301">
            <v>8869.99</v>
          </cell>
        </row>
        <row r="1302">
          <cell r="A1302">
            <v>240020013</v>
          </cell>
          <cell r="B1302" t="str">
            <v>UNEARNED INC. FACILITY  FEES</v>
          </cell>
          <cell r="C1302">
            <v>8623.74</v>
          </cell>
          <cell r="D1302">
            <v>0</v>
          </cell>
          <cell r="E1302">
            <v>8623.74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8623.74</v>
          </cell>
          <cell r="T1302">
            <v>8623.74</v>
          </cell>
        </row>
        <row r="1303">
          <cell r="A1303">
            <v>240020014</v>
          </cell>
          <cell r="B1303" t="str">
            <v>UNEARNED INC. RESTRUCTURING   FE</v>
          </cell>
          <cell r="C1303">
            <v>51533.38</v>
          </cell>
          <cell r="D1303">
            <v>0</v>
          </cell>
          <cell r="E1303">
            <v>51533.38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51533.38</v>
          </cell>
          <cell r="T1303">
            <v>51533.38</v>
          </cell>
        </row>
        <row r="1304">
          <cell r="A1304">
            <v>240020015</v>
          </cell>
          <cell r="B1304" t="str">
            <v>UNEARNED INC. PARTICIPATION   FE</v>
          </cell>
          <cell r="C1304">
            <v>0</v>
          </cell>
          <cell r="D1304">
            <v>0</v>
          </cell>
          <cell r="E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</row>
        <row r="1305">
          <cell r="A1305" t="str">
            <v>_x0012_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</row>
        <row r="1306"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</row>
        <row r="1307">
          <cell r="C1307" t="str">
            <v>Polaris Bank Limited, N</v>
          </cell>
          <cell r="D1307" t="str">
            <v>igeria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</row>
        <row r="1308">
          <cell r="C1308" t="str">
            <v>** Consolidated Balance Shee</v>
          </cell>
          <cell r="D1308" t="str">
            <v>t CBN **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</row>
        <row r="1309"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</row>
        <row r="1310">
          <cell r="C1310" t="str">
            <v>As on :     31-OCT-2025</v>
          </cell>
          <cell r="E1310" t="str">
            <v>Page   :   24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</row>
        <row r="1311"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</row>
        <row r="1312">
          <cell r="A1312" t="str">
            <v>User Id :</v>
          </cell>
          <cell r="B1312" t="str">
            <v>SYSTEM</v>
          </cell>
          <cell r="C1312" t="str">
            <v>Date 1 Time :     01-NOV-2025</v>
          </cell>
          <cell r="D1312">
            <v>0.21625000000000003</v>
          </cell>
          <cell r="E1312" t="str">
            <v>Module :   GL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</row>
        <row r="1313">
          <cell r="A1313" t="str">
            <v>----------</v>
          </cell>
          <cell r="B1313" t="str">
            <v>----------------------------------------</v>
          </cell>
          <cell r="C1313" t="str">
            <v>------------------------------</v>
          </cell>
          <cell r="D1313" t="str">
            <v>------------------------------</v>
          </cell>
          <cell r="E1313" t="str">
            <v>----------------------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</row>
        <row r="1314">
          <cell r="A1314" t="str">
            <v>GL Code</v>
          </cell>
          <cell r="B1314" t="str">
            <v>Description</v>
          </cell>
          <cell r="C1314" t="str">
            <v>LCY Amount</v>
          </cell>
          <cell r="D1314" t="str">
            <v>FCY Amount (Lcy Eq)</v>
          </cell>
          <cell r="E1314" t="str">
            <v>Total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</row>
        <row r="1315"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</row>
        <row r="1316">
          <cell r="A1316" t="str">
            <v>----------</v>
          </cell>
          <cell r="B1316" t="str">
            <v>----------------------------------------</v>
          </cell>
          <cell r="C1316" t="str">
            <v>------------------------------</v>
          </cell>
          <cell r="D1316" t="str">
            <v>------------------------------</v>
          </cell>
          <cell r="E1316" t="str">
            <v>----------------------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</row>
        <row r="1317">
          <cell r="A1317" t="str">
            <v>Liability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</row>
        <row r="1318"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</row>
        <row r="1319">
          <cell r="A1319">
            <v>240020016</v>
          </cell>
          <cell r="B1319" t="str">
            <v>UNEARNED INC. PROCESSING   FEES</v>
          </cell>
          <cell r="C1319">
            <v>48753.22</v>
          </cell>
          <cell r="D1319">
            <v>0</v>
          </cell>
          <cell r="E1319">
            <v>48753.22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48753.22</v>
          </cell>
          <cell r="T1319">
            <v>48753.22</v>
          </cell>
        </row>
        <row r="1320">
          <cell r="A1320">
            <v>240020017</v>
          </cell>
          <cell r="B1320" t="str">
            <v>UNEARNED INC. MONITORING   FEES</v>
          </cell>
          <cell r="C1320">
            <v>6818.91</v>
          </cell>
          <cell r="D1320">
            <v>0</v>
          </cell>
          <cell r="E1320">
            <v>6818.91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6818.91</v>
          </cell>
          <cell r="T1320">
            <v>6818.91</v>
          </cell>
        </row>
        <row r="1321">
          <cell r="A1321">
            <v>240020018</v>
          </cell>
          <cell r="B1321" t="str">
            <v>UNEARNED INC. APG UTILIZATION  F</v>
          </cell>
          <cell r="C1321">
            <v>0</v>
          </cell>
          <cell r="D1321">
            <v>0</v>
          </cell>
          <cell r="E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</row>
        <row r="1322">
          <cell r="A1322">
            <v>240020019</v>
          </cell>
          <cell r="B1322" t="str">
            <v>UNEARNED INC. APG MONITORING   F</v>
          </cell>
          <cell r="C1322">
            <v>109999.95</v>
          </cell>
          <cell r="D1322">
            <v>0</v>
          </cell>
          <cell r="E1322">
            <v>109999.95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109999.95</v>
          </cell>
          <cell r="T1322">
            <v>109999.95</v>
          </cell>
        </row>
        <row r="1323">
          <cell r="A1323">
            <v>240020020</v>
          </cell>
          <cell r="B1323" t="str">
            <v>UNEARNED INC.   O/D CHARGES</v>
          </cell>
          <cell r="C1323">
            <v>14288668.68</v>
          </cell>
          <cell r="D1323">
            <v>0</v>
          </cell>
          <cell r="E1323">
            <v>14288668.68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14288668.68</v>
          </cell>
          <cell r="T1323">
            <v>14288668.68</v>
          </cell>
        </row>
        <row r="1324">
          <cell r="A1324">
            <v>240020022</v>
          </cell>
          <cell r="B1324" t="str">
            <v>UNEARNED INC. ON OTHER RISK ASSE</v>
          </cell>
          <cell r="C1324">
            <v>0</v>
          </cell>
          <cell r="D1324">
            <v>0</v>
          </cell>
          <cell r="E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</row>
        <row r="1325">
          <cell r="A1325">
            <v>240020023</v>
          </cell>
          <cell r="B1325" t="str">
            <v>UNEARNED INC.SEARCH &amp; LEGAL FEES</v>
          </cell>
          <cell r="C1325">
            <v>21666.63</v>
          </cell>
          <cell r="D1325">
            <v>0</v>
          </cell>
          <cell r="E1325">
            <v>21666.63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21666.63</v>
          </cell>
          <cell r="T1325">
            <v>21666.63</v>
          </cell>
        </row>
        <row r="1326">
          <cell r="A1326">
            <v>240020025</v>
          </cell>
          <cell r="B1326" t="str">
            <v>UNEARNED INC.RENEWAL  FEE</v>
          </cell>
          <cell r="C1326">
            <v>0</v>
          </cell>
          <cell r="D1326">
            <v>0</v>
          </cell>
          <cell r="E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</row>
        <row r="1327">
          <cell r="A1327">
            <v>240020026</v>
          </cell>
          <cell r="B1327" t="str">
            <v>UNEARNED INC.ADVISORY/CONSULTCY</v>
          </cell>
          <cell r="C1327">
            <v>0</v>
          </cell>
          <cell r="D1327">
            <v>0</v>
          </cell>
          <cell r="E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</row>
        <row r="1328">
          <cell r="A1328">
            <v>240020030</v>
          </cell>
          <cell r="B1328" t="str">
            <v>UNEARNED INC.CUSTOM BOND FEE</v>
          </cell>
          <cell r="C1328">
            <v>0</v>
          </cell>
          <cell r="D1328">
            <v>0</v>
          </cell>
          <cell r="E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</row>
        <row r="1329">
          <cell r="A1329">
            <v>240020032</v>
          </cell>
          <cell r="B1329" t="str">
            <v>UNEARNED INC. TREASURY BILLS (AM</v>
          </cell>
          <cell r="C1329">
            <v>40710978795.269997</v>
          </cell>
          <cell r="D1329">
            <v>0</v>
          </cell>
          <cell r="E1329">
            <v>40710978795.269997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40710978795.269997</v>
          </cell>
          <cell r="T1329">
            <v>40710978795.269997</v>
          </cell>
        </row>
        <row r="1330">
          <cell r="A1330">
            <v>240020034</v>
          </cell>
          <cell r="B1330" t="str">
            <v>UNEARNED INC   OTHERS</v>
          </cell>
          <cell r="C1330">
            <v>132022.5</v>
          </cell>
          <cell r="D1330">
            <v>0</v>
          </cell>
          <cell r="E1330">
            <v>132022.5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132022.5</v>
          </cell>
          <cell r="T1330">
            <v>132022.5</v>
          </cell>
        </row>
        <row r="1331">
          <cell r="A1331">
            <v>240020035</v>
          </cell>
          <cell r="B1331" t="str">
            <v>UNEARNED INC. TREASURY BILLS (FV</v>
          </cell>
          <cell r="C1331">
            <v>0</v>
          </cell>
          <cell r="D1331">
            <v>0</v>
          </cell>
          <cell r="E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</row>
        <row r="1332">
          <cell r="A1332">
            <v>240020036</v>
          </cell>
          <cell r="B1332" t="str">
            <v>UNEARNED INC. TREASURY BILLS (FV</v>
          </cell>
          <cell r="C1332">
            <v>1084433012.1500001</v>
          </cell>
          <cell r="D1332">
            <v>0</v>
          </cell>
          <cell r="E1332">
            <v>1084433012.1500001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1084433012.1500001</v>
          </cell>
          <cell r="T1332">
            <v>1084433012.1500001</v>
          </cell>
        </row>
        <row r="1333">
          <cell r="A1333">
            <v>240020037</v>
          </cell>
          <cell r="B1333" t="str">
            <v>UNEARNED INC. PERSONAL LOAN INSU</v>
          </cell>
          <cell r="C1333">
            <v>14533484.57</v>
          </cell>
          <cell r="D1333">
            <v>0</v>
          </cell>
          <cell r="E1333">
            <v>14533484.57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14533484.57</v>
          </cell>
          <cell r="T1333">
            <v>14533484.57</v>
          </cell>
        </row>
        <row r="1334">
          <cell r="A1334">
            <v>240020038</v>
          </cell>
          <cell r="B1334" t="str">
            <v>UNEARNED INC. PROMISORY NOTES (A</v>
          </cell>
          <cell r="C1334">
            <v>717051319.40999997</v>
          </cell>
          <cell r="D1334">
            <v>0</v>
          </cell>
          <cell r="E1334">
            <v>717051319.40999997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717051319.40999997</v>
          </cell>
          <cell r="T1334">
            <v>717051319.40999997</v>
          </cell>
        </row>
        <row r="1335">
          <cell r="A1335">
            <v>240020039</v>
          </cell>
          <cell r="B1335" t="str">
            <v>UNEARNED INC. PROMISORY NOTES (F</v>
          </cell>
          <cell r="C1335">
            <v>716534794.51999998</v>
          </cell>
          <cell r="D1335">
            <v>0</v>
          </cell>
          <cell r="E1335">
            <v>716534794.51999998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716534794.51999998</v>
          </cell>
          <cell r="T1335">
            <v>716534794.51999998</v>
          </cell>
        </row>
        <row r="1336">
          <cell r="A1336">
            <v>240020041</v>
          </cell>
          <cell r="B1336" t="str">
            <v>UNEARNED INC. COMMERCIAL PAPERS</v>
          </cell>
          <cell r="C1336">
            <v>140169742.36000001</v>
          </cell>
          <cell r="D1336">
            <v>0</v>
          </cell>
          <cell r="E1336">
            <v>140169742.36000001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140169742.36000001</v>
          </cell>
          <cell r="T1336">
            <v>140169742.36000001</v>
          </cell>
        </row>
        <row r="1337">
          <cell r="A1337">
            <v>240020044</v>
          </cell>
          <cell r="B1337" t="str">
            <v>UNEARNED INC. RECOVERY ON MEMO A</v>
          </cell>
          <cell r="C1337">
            <v>1150854780.1900001</v>
          </cell>
          <cell r="D1337">
            <v>-1174947576.4200001</v>
          </cell>
          <cell r="E1337">
            <v>-24092796.23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-24092796.23</v>
          </cell>
          <cell r="T1337">
            <v>-24092796.23</v>
          </cell>
        </row>
        <row r="1338">
          <cell r="A1338">
            <v>240030001</v>
          </cell>
          <cell r="B1338" t="str">
            <v>UNCLEARED EFFECTS (LCY)</v>
          </cell>
          <cell r="C1338">
            <v>0</v>
          </cell>
          <cell r="D1338">
            <v>0</v>
          </cell>
          <cell r="E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</row>
        <row r="1339">
          <cell r="A1339">
            <v>240030002</v>
          </cell>
          <cell r="B1339" t="str">
            <v>UNCLEARED EFFECTS (FCY)</v>
          </cell>
          <cell r="C1339">
            <v>393000</v>
          </cell>
          <cell r="D1339">
            <v>0</v>
          </cell>
          <cell r="E1339">
            <v>393000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393000</v>
          </cell>
          <cell r="T1339">
            <v>393000</v>
          </cell>
        </row>
        <row r="1340">
          <cell r="A1340">
            <v>240040001</v>
          </cell>
          <cell r="B1340" t="str">
            <v>A/CS PAYABLE   AFEM PRINCIPAL A/</v>
          </cell>
          <cell r="C1340">
            <v>0</v>
          </cell>
          <cell r="D1340">
            <v>0</v>
          </cell>
          <cell r="E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</row>
        <row r="1341">
          <cell r="A1341">
            <v>240040002</v>
          </cell>
          <cell r="B1341" t="str">
            <v>A/CS PAYABLE  AFEM/CBN INTERVENT</v>
          </cell>
          <cell r="C1341">
            <v>701529927.90999997</v>
          </cell>
          <cell r="D1341">
            <v>14748.97</v>
          </cell>
          <cell r="E1341">
            <v>701544676.88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701544676.88</v>
          </cell>
          <cell r="T1341">
            <v>701544676.88</v>
          </cell>
        </row>
        <row r="1342">
          <cell r="A1342">
            <v>240040003</v>
          </cell>
          <cell r="B1342" t="str">
            <v>A/CS PAYABLE   LC CASH COLLATERA</v>
          </cell>
          <cell r="C1342">
            <v>0</v>
          </cell>
          <cell r="D1342">
            <v>13058430.26</v>
          </cell>
          <cell r="E1342">
            <v>13058430.26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13058430.26</v>
          </cell>
          <cell r="T1342">
            <v>13058430.26</v>
          </cell>
        </row>
        <row r="1343">
          <cell r="A1343">
            <v>240040004</v>
          </cell>
          <cell r="B1343" t="str">
            <v>A/C PAY-LC CASH COLLATERAL-SCB</v>
          </cell>
          <cell r="C1343">
            <v>0</v>
          </cell>
          <cell r="D1343">
            <v>3783427829.9200001</v>
          </cell>
          <cell r="E1343">
            <v>3783427829.9200001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3783427829.9200001</v>
          </cell>
          <cell r="T1343">
            <v>3783427829.9200001</v>
          </cell>
        </row>
        <row r="1344">
          <cell r="A1344">
            <v>240040005</v>
          </cell>
          <cell r="B1344" t="str">
            <v>A/C PAY-LC CASH COLLATERAL-CITIB</v>
          </cell>
          <cell r="C1344">
            <v>0</v>
          </cell>
          <cell r="D1344">
            <v>0</v>
          </cell>
          <cell r="E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</row>
        <row r="1345">
          <cell r="A1345">
            <v>240040006</v>
          </cell>
          <cell r="B1345" t="str">
            <v>A/C PAY-LC CASH COLLATERAL-FIRST</v>
          </cell>
          <cell r="C1345">
            <v>0</v>
          </cell>
          <cell r="D1345">
            <v>0</v>
          </cell>
          <cell r="E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</row>
        <row r="1346">
          <cell r="A1346">
            <v>240040008</v>
          </cell>
          <cell r="B1346" t="str">
            <v>ACCES BANK LTD CASH COLL ACC</v>
          </cell>
          <cell r="C1346">
            <v>0</v>
          </cell>
          <cell r="D1346">
            <v>53960562.240000002</v>
          </cell>
          <cell r="E1346">
            <v>53960562.240000002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53960562.240000002</v>
          </cell>
          <cell r="T1346">
            <v>53960562.240000002</v>
          </cell>
        </row>
        <row r="1347">
          <cell r="A1347">
            <v>240040009</v>
          </cell>
          <cell r="B1347" t="str">
            <v>A/C PAYABLE GTB  UK FEM MAIN</v>
          </cell>
          <cell r="C1347">
            <v>0</v>
          </cell>
          <cell r="D1347">
            <v>0</v>
          </cell>
          <cell r="E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</row>
        <row r="1348">
          <cell r="A1348">
            <v>240040010</v>
          </cell>
          <cell r="B1348" t="str">
            <v>A/C PAYABLE UNION BANK UK</v>
          </cell>
          <cell r="C1348">
            <v>0</v>
          </cell>
          <cell r="D1348">
            <v>0</v>
          </cell>
          <cell r="E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</row>
        <row r="1349">
          <cell r="A1349">
            <v>240040011</v>
          </cell>
          <cell r="B1349" t="str">
            <v>A/C PAYABLE FIRST BANK UK</v>
          </cell>
          <cell r="C1349">
            <v>10000</v>
          </cell>
          <cell r="D1349">
            <v>2721208268.96</v>
          </cell>
          <cell r="E1349">
            <v>2721218268.96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2721218268.96</v>
          </cell>
          <cell r="T1349">
            <v>2721218268.96</v>
          </cell>
        </row>
        <row r="1350">
          <cell r="A1350">
            <v>240040012</v>
          </cell>
          <cell r="B1350" t="str">
            <v>A/C PAY DEUSTCHE FRANFURT SETLEM</v>
          </cell>
          <cell r="C1350">
            <v>0</v>
          </cell>
          <cell r="D1350">
            <v>0</v>
          </cell>
          <cell r="E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</row>
        <row r="1351">
          <cell r="A1351">
            <v>240040013</v>
          </cell>
          <cell r="B1351" t="str">
            <v>BANGUE LIBANO-FRANCAISE COLL AC</v>
          </cell>
          <cell r="C1351">
            <v>0</v>
          </cell>
          <cell r="D1351">
            <v>0</v>
          </cell>
          <cell r="E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</row>
        <row r="1352">
          <cell r="A1352">
            <v>240040014</v>
          </cell>
          <cell r="B1352" t="str">
            <v>A/C PAY-CREDIT SUISSE SWITZERLAN</v>
          </cell>
          <cell r="C1352">
            <v>0</v>
          </cell>
          <cell r="D1352">
            <v>0</v>
          </cell>
          <cell r="E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</row>
        <row r="1353">
          <cell r="A1353">
            <v>240040016</v>
          </cell>
          <cell r="B1353" t="str">
            <v>A/C PAYABLE ACCESS LONDON CASH C</v>
          </cell>
          <cell r="C1353">
            <v>0</v>
          </cell>
          <cell r="D1353">
            <v>1344350822.1900001</v>
          </cell>
          <cell r="E1353">
            <v>1344350822.1900001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1344350822.1900001</v>
          </cell>
          <cell r="T1353">
            <v>1344350822.1900001</v>
          </cell>
        </row>
        <row r="1354">
          <cell r="A1354">
            <v>240040017</v>
          </cell>
          <cell r="B1354" t="str">
            <v>A/C PAYABLE ZENITH BANK LONDON</v>
          </cell>
          <cell r="C1354">
            <v>0</v>
          </cell>
          <cell r="D1354">
            <v>4573161871.3900003</v>
          </cell>
          <cell r="E1354">
            <v>4573161871.3900003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4573161871.3900003</v>
          </cell>
          <cell r="T1354">
            <v>4573161871.3900003</v>
          </cell>
        </row>
        <row r="1355">
          <cell r="A1355">
            <v>240040018</v>
          </cell>
          <cell r="B1355" t="str">
            <v>ACCOUNT PAYABLE MASHREQ BANK NEW</v>
          </cell>
          <cell r="C1355">
            <v>0</v>
          </cell>
          <cell r="D1355">
            <v>2577945708.8099999</v>
          </cell>
          <cell r="E1355">
            <v>2577945708.8099999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2577945708.8099999</v>
          </cell>
          <cell r="T1355">
            <v>2577945708.8099999</v>
          </cell>
        </row>
        <row r="1356">
          <cell r="A1356">
            <v>240040019</v>
          </cell>
          <cell r="B1356" t="str">
            <v>A/C PAY-BANK OF BEIRUT INT &amp; CHR</v>
          </cell>
          <cell r="C1356">
            <v>0</v>
          </cell>
          <cell r="D1356">
            <v>0</v>
          </cell>
          <cell r="E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</row>
        <row r="1357">
          <cell r="A1357">
            <v>240040020</v>
          </cell>
          <cell r="B1357" t="str">
            <v>A/C PAY-CITI BANK INT A/C 906</v>
          </cell>
          <cell r="C1357">
            <v>0</v>
          </cell>
          <cell r="D1357">
            <v>0</v>
          </cell>
          <cell r="E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</row>
        <row r="1358">
          <cell r="A1358">
            <v>240040021</v>
          </cell>
          <cell r="B1358" t="str">
            <v>A/C PAY-CITI INT &amp; CHARGES A/C 3</v>
          </cell>
          <cell r="C1358">
            <v>0</v>
          </cell>
          <cell r="D1358">
            <v>0</v>
          </cell>
          <cell r="E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</row>
        <row r="1359">
          <cell r="A1359">
            <v>240040022</v>
          </cell>
          <cell r="B1359" t="str">
            <v>A/C PAY-JPMORGAN GBP INT &amp; CHGS</v>
          </cell>
          <cell r="C1359">
            <v>0</v>
          </cell>
          <cell r="D1359">
            <v>0</v>
          </cell>
          <cell r="E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</row>
        <row r="1360">
          <cell r="A1360">
            <v>240040023</v>
          </cell>
          <cell r="B1360" t="str">
            <v>A/C PAY-JPMORGAN GBP INT &amp; CHGS</v>
          </cell>
          <cell r="C1360">
            <v>0</v>
          </cell>
          <cell r="D1360">
            <v>0</v>
          </cell>
          <cell r="E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</row>
        <row r="1361">
          <cell r="A1361">
            <v>240040024</v>
          </cell>
          <cell r="B1361" t="str">
            <v>A/C PAY-JPMORGAN EUR INT &amp; CHGS</v>
          </cell>
          <cell r="C1361">
            <v>0</v>
          </cell>
          <cell r="D1361">
            <v>0</v>
          </cell>
          <cell r="E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</row>
        <row r="1362">
          <cell r="A1362">
            <v>240040025</v>
          </cell>
          <cell r="B1362" t="str">
            <v>A/C PAY-JPMORGAN EUR INT &amp; CHGS</v>
          </cell>
          <cell r="C1362">
            <v>0</v>
          </cell>
          <cell r="D1362">
            <v>0</v>
          </cell>
          <cell r="E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</row>
        <row r="1363">
          <cell r="A1363" t="str">
            <v>_x0012_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</row>
        <row r="1364"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</row>
        <row r="1365">
          <cell r="C1365" t="str">
            <v>Polaris Bank Limited, N</v>
          </cell>
          <cell r="D1365" t="str">
            <v>igeria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</row>
        <row r="1366">
          <cell r="C1366" t="str">
            <v>** Consolidated Balance Shee</v>
          </cell>
          <cell r="D1366" t="str">
            <v>t CBN **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</row>
        <row r="1367"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</row>
        <row r="1368">
          <cell r="C1368" t="str">
            <v>As on :     31-OCT-2025</v>
          </cell>
          <cell r="E1368" t="str">
            <v>Page   :   25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</row>
        <row r="1369"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</row>
        <row r="1370">
          <cell r="A1370" t="str">
            <v>User Id :</v>
          </cell>
          <cell r="B1370" t="str">
            <v>SYSTEM</v>
          </cell>
          <cell r="C1370" t="str">
            <v>Date 1 Time :     01-NOV-2025</v>
          </cell>
          <cell r="D1370">
            <v>0.21625000000000003</v>
          </cell>
          <cell r="E1370" t="str">
            <v>Module :   GL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</row>
        <row r="1371">
          <cell r="A1371" t="str">
            <v>----------</v>
          </cell>
          <cell r="B1371" t="str">
            <v>----------------------------------------</v>
          </cell>
          <cell r="C1371" t="str">
            <v>------------------------------</v>
          </cell>
          <cell r="D1371" t="str">
            <v>------------------------------</v>
          </cell>
          <cell r="E1371" t="str">
            <v>----------------------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</row>
        <row r="1372">
          <cell r="A1372" t="str">
            <v>GL Code</v>
          </cell>
          <cell r="B1372" t="str">
            <v>Description</v>
          </cell>
          <cell r="C1372" t="str">
            <v>LCY Amount</v>
          </cell>
          <cell r="D1372" t="str">
            <v>FCY Amount (Lcy Eq)</v>
          </cell>
          <cell r="E1372" t="str">
            <v>Total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</row>
        <row r="1373"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</row>
        <row r="1374">
          <cell r="A1374" t="str">
            <v>----------</v>
          </cell>
          <cell r="B1374" t="str">
            <v>----------------------------------------</v>
          </cell>
          <cell r="C1374" t="str">
            <v>------------------------------</v>
          </cell>
          <cell r="D1374" t="str">
            <v>------------------------------</v>
          </cell>
          <cell r="E1374" t="str">
            <v>----------------------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</row>
        <row r="1375">
          <cell r="A1375" t="str">
            <v>Liability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</row>
        <row r="1376"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</row>
        <row r="1377">
          <cell r="A1377">
            <v>240040026</v>
          </cell>
          <cell r="B1377" t="str">
            <v>A/C PAY-JPMORGAN INT &amp; CHGS USD</v>
          </cell>
          <cell r="C1377">
            <v>0</v>
          </cell>
          <cell r="D1377">
            <v>0</v>
          </cell>
          <cell r="E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</row>
        <row r="1378">
          <cell r="A1378">
            <v>240040027</v>
          </cell>
          <cell r="B1378" t="str">
            <v>A/C PAYABLE BANK OF BEIRUT CASH</v>
          </cell>
          <cell r="C1378">
            <v>0</v>
          </cell>
          <cell r="D1378">
            <v>208653815.88999999</v>
          </cell>
          <cell r="E1378">
            <v>208653815.88999999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208653815.88999999</v>
          </cell>
          <cell r="T1378">
            <v>208653815.88999999</v>
          </cell>
        </row>
        <row r="1379">
          <cell r="A1379">
            <v>240040028</v>
          </cell>
          <cell r="B1379" t="str">
            <v>A/C PAY-SCB USD INT &amp; CHRGS USD</v>
          </cell>
          <cell r="C1379">
            <v>0</v>
          </cell>
          <cell r="D1379">
            <v>0</v>
          </cell>
          <cell r="E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</row>
        <row r="1380">
          <cell r="A1380">
            <v>240040029</v>
          </cell>
          <cell r="B1380" t="str">
            <v>A/C PAY-FIRST BANK UK-EUR INT&amp;CH</v>
          </cell>
          <cell r="C1380">
            <v>0</v>
          </cell>
          <cell r="D1380">
            <v>22020737.989999998</v>
          </cell>
          <cell r="E1380">
            <v>22020737.989999998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22020737.989999998</v>
          </cell>
          <cell r="T1380">
            <v>22020737.989999998</v>
          </cell>
        </row>
        <row r="1381">
          <cell r="A1381">
            <v>240040030</v>
          </cell>
          <cell r="B1381" t="str">
            <v>A/C PAY-FIRST BANK UK-USD EXPORT</v>
          </cell>
          <cell r="C1381">
            <v>0</v>
          </cell>
          <cell r="D1381">
            <v>0</v>
          </cell>
          <cell r="E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</row>
        <row r="1382">
          <cell r="A1382">
            <v>240040031</v>
          </cell>
          <cell r="B1382" t="str">
            <v>A/C PAY-UBA INT &amp; CHARGES</v>
          </cell>
          <cell r="C1382">
            <v>0</v>
          </cell>
          <cell r="D1382">
            <v>0</v>
          </cell>
          <cell r="E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</row>
        <row r="1383">
          <cell r="A1383">
            <v>240040032</v>
          </cell>
          <cell r="B1383" t="str">
            <v>A/C PAY-CASH MARGIN CONFIRMED LC</v>
          </cell>
          <cell r="C1383">
            <v>0</v>
          </cell>
          <cell r="D1383">
            <v>0</v>
          </cell>
          <cell r="E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</row>
        <row r="1384">
          <cell r="A1384">
            <v>240040037</v>
          </cell>
          <cell r="B1384" t="str">
            <v>A/C PAY-UBA EXPORT DOM USD</v>
          </cell>
          <cell r="C1384">
            <v>0</v>
          </cell>
          <cell r="D1384">
            <v>0</v>
          </cell>
          <cell r="E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</row>
        <row r="1385">
          <cell r="A1385">
            <v>240040039</v>
          </cell>
          <cell r="B1385" t="str">
            <v>A/C PAY-DEUSTCHE INT &amp; CHARGES A</v>
          </cell>
          <cell r="C1385">
            <v>0</v>
          </cell>
          <cell r="D1385">
            <v>0</v>
          </cell>
          <cell r="E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</row>
        <row r="1386">
          <cell r="A1386">
            <v>240040040</v>
          </cell>
          <cell r="B1386" t="str">
            <v>A/C PAY-FIRST BANK UK USD OPS A/</v>
          </cell>
          <cell r="C1386">
            <v>0</v>
          </cell>
          <cell r="D1386">
            <v>0</v>
          </cell>
          <cell r="E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</row>
        <row r="1387">
          <cell r="A1387">
            <v>240040041</v>
          </cell>
          <cell r="B1387" t="str">
            <v>A/C PAY-CITI BANK USD OPERATING</v>
          </cell>
          <cell r="C1387">
            <v>0</v>
          </cell>
          <cell r="D1387">
            <v>0</v>
          </cell>
          <cell r="E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</row>
        <row r="1388">
          <cell r="A1388">
            <v>240040042</v>
          </cell>
          <cell r="B1388" t="str">
            <v>A/C PAY-COMMERZ BANK</v>
          </cell>
          <cell r="C1388">
            <v>0</v>
          </cell>
          <cell r="D1388">
            <v>0</v>
          </cell>
          <cell r="E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</row>
        <row r="1389">
          <cell r="A1389">
            <v>240040043</v>
          </cell>
          <cell r="B1389" t="str">
            <v>STANDARD BANK OF SOUTH AFRICA</v>
          </cell>
          <cell r="C1389">
            <v>0</v>
          </cell>
          <cell r="D1389">
            <v>0</v>
          </cell>
          <cell r="E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</row>
        <row r="1390">
          <cell r="A1390">
            <v>240040045</v>
          </cell>
          <cell r="B1390" t="str">
            <v>FCMB CASH COLL ACCOUNT</v>
          </cell>
          <cell r="C1390">
            <v>0</v>
          </cell>
          <cell r="D1390">
            <v>2165791993.0300002</v>
          </cell>
          <cell r="E1390">
            <v>2165791993.0300002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2165791993.0300002</v>
          </cell>
          <cell r="T1390">
            <v>2165791993.0300002</v>
          </cell>
        </row>
        <row r="1391">
          <cell r="A1391">
            <v>240040047</v>
          </cell>
          <cell r="B1391" t="str">
            <v>FIDBANK UK CASH COLL</v>
          </cell>
          <cell r="C1391">
            <v>0</v>
          </cell>
          <cell r="D1391">
            <v>0</v>
          </cell>
          <cell r="E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</row>
        <row r="1392">
          <cell r="A1392">
            <v>240040048</v>
          </cell>
          <cell r="B1392" t="str">
            <v>A/C PAYABLE BYBLOS BANK LONDON C</v>
          </cell>
          <cell r="C1392">
            <v>0</v>
          </cell>
          <cell r="D1392">
            <v>0</v>
          </cell>
          <cell r="E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</row>
        <row r="1393">
          <cell r="A1393">
            <v>240040049</v>
          </cell>
          <cell r="B1393" t="str">
            <v>COMMERZ BANK INTEREST &amp; CHARGES</v>
          </cell>
          <cell r="C1393">
            <v>0</v>
          </cell>
          <cell r="D1393">
            <v>0</v>
          </cell>
          <cell r="E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</row>
        <row r="1394">
          <cell r="A1394">
            <v>240040050</v>
          </cell>
          <cell r="B1394" t="str">
            <v>A/CS PAYABLE POLARISCARD CREDIT</v>
          </cell>
          <cell r="C1394">
            <v>0</v>
          </cell>
          <cell r="D1394">
            <v>0</v>
          </cell>
          <cell r="E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</row>
        <row r="1395">
          <cell r="A1395">
            <v>240040051</v>
          </cell>
          <cell r="B1395" t="str">
            <v>A/CS PAYABLE   LC MARGIN A/CS</v>
          </cell>
          <cell r="C1395">
            <v>0</v>
          </cell>
          <cell r="D1395">
            <v>0</v>
          </cell>
          <cell r="E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</row>
        <row r="1396">
          <cell r="A1396">
            <v>240040052</v>
          </cell>
          <cell r="B1396" t="str">
            <v>A/CS PAYABLE   CUSTOMERS FEM A/C</v>
          </cell>
          <cell r="C1396">
            <v>0</v>
          </cell>
          <cell r="D1396">
            <v>0</v>
          </cell>
          <cell r="E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</row>
        <row r="1397">
          <cell r="A1397">
            <v>240040053</v>
          </cell>
          <cell r="B1397" t="str">
            <v>CBN/INTERBANK FX TRADING ACCOUNT</v>
          </cell>
          <cell r="C1397">
            <v>0</v>
          </cell>
          <cell r="D1397">
            <v>-2886569470.0799999</v>
          </cell>
          <cell r="E1397">
            <v>-2886569470.0799999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2886569470.0799999</v>
          </cell>
          <cell r="T1397">
            <v>2886569470.0799999</v>
          </cell>
        </row>
        <row r="1398">
          <cell r="A1398">
            <v>240040055</v>
          </cell>
          <cell r="B1398" t="str">
            <v>A/CS PAYABLE   INWARD TRANSFERS</v>
          </cell>
          <cell r="C1398">
            <v>1981458.83</v>
          </cell>
          <cell r="D1398">
            <v>0</v>
          </cell>
          <cell r="E1398">
            <v>1981458.83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1981458.83</v>
          </cell>
          <cell r="T1398">
            <v>1981458.83</v>
          </cell>
        </row>
        <row r="1399">
          <cell r="A1399">
            <v>240040056</v>
          </cell>
          <cell r="B1399" t="str">
            <v>A/CS PAYABLE  (FCY) WUMT (USD)</v>
          </cell>
          <cell r="C1399">
            <v>0</v>
          </cell>
          <cell r="D1399">
            <v>0</v>
          </cell>
          <cell r="E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</row>
        <row r="1400">
          <cell r="A1400">
            <v>240040057</v>
          </cell>
          <cell r="B1400" t="str">
            <v>A/CS PAYABLE  (LCY) WUMT</v>
          </cell>
          <cell r="C1400">
            <v>-70549.149999999994</v>
          </cell>
          <cell r="D1400">
            <v>45292603.549999997</v>
          </cell>
          <cell r="E1400">
            <v>45222054.399999999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45222054.399999999</v>
          </cell>
          <cell r="T1400">
            <v>45222054.399999999</v>
          </cell>
        </row>
        <row r="1401">
          <cell r="A1401">
            <v>240040058</v>
          </cell>
          <cell r="B1401" t="str">
            <v>A/C PAYABLE--ACCOUNT ACQUISITION</v>
          </cell>
          <cell r="C1401">
            <v>0</v>
          </cell>
          <cell r="D1401">
            <v>0</v>
          </cell>
          <cell r="E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</row>
        <row r="1402">
          <cell r="A1402">
            <v>240040059</v>
          </cell>
          <cell r="B1402" t="str">
            <v>A/CS PAYABLE   BANK CHEQUES</v>
          </cell>
          <cell r="C1402">
            <v>1211135059.3900001</v>
          </cell>
          <cell r="D1402">
            <v>0</v>
          </cell>
          <cell r="E1402">
            <v>1211135059.3900001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1211135059.3900001</v>
          </cell>
          <cell r="T1402">
            <v>1211135059.3900001</v>
          </cell>
        </row>
        <row r="1403">
          <cell r="A1403">
            <v>240040060</v>
          </cell>
          <cell r="B1403" t="str">
            <v>A/C PAYABLE- SEC CHARGES</v>
          </cell>
          <cell r="C1403">
            <v>130452916.5</v>
          </cell>
          <cell r="D1403">
            <v>0</v>
          </cell>
          <cell r="E1403">
            <v>130452916.5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130452916.5</v>
          </cell>
          <cell r="T1403">
            <v>130452916.5</v>
          </cell>
        </row>
        <row r="1404">
          <cell r="A1404">
            <v>240040061</v>
          </cell>
          <cell r="B1404" t="str">
            <v>A/C PAYABLE UNCLAIMED DIVIDEND</v>
          </cell>
          <cell r="C1404">
            <v>0</v>
          </cell>
          <cell r="D1404">
            <v>0</v>
          </cell>
          <cell r="E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</row>
        <row r="1405">
          <cell r="A1405">
            <v>240040062</v>
          </cell>
          <cell r="B1405" t="str">
            <v>A/C PAYABLE DIVIDEND POLARIS BAN</v>
          </cell>
          <cell r="C1405">
            <v>0</v>
          </cell>
          <cell r="D1405">
            <v>0</v>
          </cell>
          <cell r="E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</row>
        <row r="1406">
          <cell r="A1406">
            <v>240040063</v>
          </cell>
          <cell r="B1406" t="str">
            <v>A/CS PAYABLE   STALE CHEQUES/DRA</v>
          </cell>
          <cell r="C1406">
            <v>4926155233.3800001</v>
          </cell>
          <cell r="D1406">
            <v>0</v>
          </cell>
          <cell r="E1406">
            <v>4926155233.3800001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4926155233.3800001</v>
          </cell>
          <cell r="T1406">
            <v>4926155233.3800001</v>
          </cell>
        </row>
        <row r="1407">
          <cell r="A1407">
            <v>240040064</v>
          </cell>
          <cell r="B1407" t="str">
            <v>A/CS PAY-FCY STALE DRAFTS</v>
          </cell>
          <cell r="C1407">
            <v>0</v>
          </cell>
          <cell r="D1407">
            <v>262201783.97999999</v>
          </cell>
          <cell r="E1407">
            <v>262201783.97999999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262201783.97999999</v>
          </cell>
          <cell r="T1407">
            <v>262201783.97999999</v>
          </cell>
        </row>
        <row r="1408">
          <cell r="A1408">
            <v>240040065</v>
          </cell>
          <cell r="B1408" t="str">
            <v>A/C PAYABLE DOM TRANSFER ITEMS</v>
          </cell>
          <cell r="C1408">
            <v>0</v>
          </cell>
          <cell r="D1408">
            <v>0</v>
          </cell>
          <cell r="E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</row>
        <row r="1409">
          <cell r="A1409">
            <v>240040066</v>
          </cell>
          <cell r="B1409" t="str">
            <v>A/CS PAYABLE - LOAN RECOVERY</v>
          </cell>
          <cell r="C1409">
            <v>1279329.74</v>
          </cell>
          <cell r="D1409">
            <v>0</v>
          </cell>
          <cell r="E1409">
            <v>1279329.74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1279329.74</v>
          </cell>
          <cell r="T1409">
            <v>1279329.74</v>
          </cell>
        </row>
        <row r="1410">
          <cell r="A1410">
            <v>240040067</v>
          </cell>
          <cell r="B1410" t="str">
            <v>A/CS PAYABLE   TRAVELLERS CHEQUE</v>
          </cell>
          <cell r="C1410">
            <v>6382.29</v>
          </cell>
          <cell r="D1410">
            <v>77600516.370000005</v>
          </cell>
          <cell r="E1410">
            <v>77606898.659999996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77606898.659999996</v>
          </cell>
          <cell r="T1410">
            <v>77606898.659999996</v>
          </cell>
        </row>
        <row r="1411">
          <cell r="A1411">
            <v>240040068</v>
          </cell>
          <cell r="B1411" t="str">
            <v>A/CS PAY-BTA &amp; PTA PAYABLE</v>
          </cell>
          <cell r="C1411">
            <v>-12024710.58</v>
          </cell>
          <cell r="D1411">
            <v>64456854.240000002</v>
          </cell>
          <cell r="E1411">
            <v>52432143.659999996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52432143.659999996</v>
          </cell>
          <cell r="T1411">
            <v>52432143.659999996</v>
          </cell>
        </row>
        <row r="1412">
          <cell r="A1412">
            <v>240040069</v>
          </cell>
          <cell r="B1412" t="str">
            <v>FOREIGN SWEDISH EMBASSY COLL PAY</v>
          </cell>
          <cell r="C1412">
            <v>0</v>
          </cell>
          <cell r="D1412">
            <v>0</v>
          </cell>
          <cell r="E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</row>
        <row r="1413">
          <cell r="A1413">
            <v>240040070</v>
          </cell>
          <cell r="B1413" t="str">
            <v>A/CS PAYABLE   BANK DRAFTS ISSUE</v>
          </cell>
          <cell r="C1413">
            <v>481195.6</v>
          </cell>
          <cell r="D1413">
            <v>728788.2</v>
          </cell>
          <cell r="E1413">
            <v>1209983.8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1209983.8</v>
          </cell>
          <cell r="T1413">
            <v>1209983.8</v>
          </cell>
        </row>
        <row r="1414">
          <cell r="A1414">
            <v>240040072</v>
          </cell>
          <cell r="B1414" t="str">
            <v>A/C PAYABLE  SUNDRY CREDIT - M</v>
          </cell>
          <cell r="C1414">
            <v>78861593.540000007</v>
          </cell>
          <cell r="D1414">
            <v>0</v>
          </cell>
          <cell r="E1414">
            <v>78861593.540000007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78861593.540000007</v>
          </cell>
          <cell r="T1414">
            <v>78861593.540000007</v>
          </cell>
        </row>
        <row r="1415">
          <cell r="A1415">
            <v>240040073</v>
          </cell>
          <cell r="B1415" t="str">
            <v>RIA ACCOUNT PAYABLE LCY</v>
          </cell>
          <cell r="C1415">
            <v>0</v>
          </cell>
          <cell r="D1415">
            <v>0</v>
          </cell>
          <cell r="E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</row>
        <row r="1416">
          <cell r="A1416">
            <v>240040074</v>
          </cell>
          <cell r="B1416" t="str">
            <v>DERIVATIVE LIABILITY</v>
          </cell>
          <cell r="C1416">
            <v>0</v>
          </cell>
          <cell r="D1416">
            <v>0</v>
          </cell>
          <cell r="E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</row>
        <row r="1417">
          <cell r="A1417">
            <v>240040075</v>
          </cell>
          <cell r="B1417" t="str">
            <v>A/C PAY MAURITIOUS COMM BANK CAS</v>
          </cell>
          <cell r="C1417">
            <v>0</v>
          </cell>
          <cell r="D1417">
            <v>0</v>
          </cell>
          <cell r="E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</row>
        <row r="1418">
          <cell r="A1418">
            <v>240040076</v>
          </cell>
          <cell r="B1418" t="str">
            <v>NOSTRO LIABILITY CONVERSION FCUB</v>
          </cell>
          <cell r="C1418">
            <v>0</v>
          </cell>
          <cell r="D1418">
            <v>0</v>
          </cell>
          <cell r="E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</row>
        <row r="1419">
          <cell r="A1419">
            <v>240040077</v>
          </cell>
          <cell r="B1419" t="str">
            <v>NIBSS NET SETTLEMENT GL</v>
          </cell>
          <cell r="C1419">
            <v>-50886612860.220001</v>
          </cell>
          <cell r="D1419">
            <v>0</v>
          </cell>
          <cell r="E1419">
            <v>-50886612860.220001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50886612860.220001</v>
          </cell>
          <cell r="T1419">
            <v>50886612860.220001</v>
          </cell>
        </row>
        <row r="1420">
          <cell r="A1420">
            <v>240040078</v>
          </cell>
          <cell r="B1420" t="str">
            <v>A/CS PAYABLEáá BILLS PAYABLE</v>
          </cell>
          <cell r="C1420">
            <v>3880062118.9200001</v>
          </cell>
          <cell r="D1420">
            <v>2516818862.3800001</v>
          </cell>
          <cell r="E1420">
            <v>6396880981.3000002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6396880981.3000002</v>
          </cell>
          <cell r="T1420">
            <v>6396880981.3000002</v>
          </cell>
        </row>
        <row r="1421">
          <cell r="A1421" t="str">
            <v>_x0012_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</row>
        <row r="1422"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</row>
        <row r="1423">
          <cell r="C1423" t="str">
            <v>Polaris Bank Limited, N</v>
          </cell>
          <cell r="D1423" t="str">
            <v>igeria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</row>
        <row r="1424">
          <cell r="C1424" t="str">
            <v>** Consolidated Balance Shee</v>
          </cell>
          <cell r="D1424" t="str">
            <v>t CBN **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</row>
        <row r="1425"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</row>
        <row r="1426">
          <cell r="C1426" t="str">
            <v>As on :     31-OCT-2025</v>
          </cell>
          <cell r="E1426" t="str">
            <v>Page   :   26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</row>
        <row r="1427"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</row>
        <row r="1428">
          <cell r="A1428" t="str">
            <v>User Id :</v>
          </cell>
          <cell r="B1428" t="str">
            <v>SYSTEM</v>
          </cell>
          <cell r="C1428" t="str">
            <v>Date 1 Time :     01-NOV-2025</v>
          </cell>
          <cell r="D1428">
            <v>0.21625000000000003</v>
          </cell>
          <cell r="E1428" t="str">
            <v>Module :   GL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</row>
        <row r="1429">
          <cell r="A1429" t="str">
            <v>----------</v>
          </cell>
          <cell r="B1429" t="str">
            <v>----------------------------------------</v>
          </cell>
          <cell r="C1429" t="str">
            <v>------------------------------</v>
          </cell>
          <cell r="D1429" t="str">
            <v>------------------------------</v>
          </cell>
          <cell r="E1429" t="str">
            <v>----------------------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</row>
        <row r="1430">
          <cell r="A1430" t="str">
            <v>GL Code</v>
          </cell>
          <cell r="B1430" t="str">
            <v>Description</v>
          </cell>
          <cell r="C1430" t="str">
            <v>LCY Amount</v>
          </cell>
          <cell r="D1430" t="str">
            <v>FCY Amount (Lcy Eq)</v>
          </cell>
          <cell r="E1430" t="str">
            <v>Total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</row>
        <row r="1431"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</row>
        <row r="1432">
          <cell r="A1432" t="str">
            <v>----------</v>
          </cell>
          <cell r="B1432" t="str">
            <v>----------------------------------------</v>
          </cell>
          <cell r="C1432" t="str">
            <v>------------------------------</v>
          </cell>
          <cell r="D1432" t="str">
            <v>------------------------------</v>
          </cell>
          <cell r="E1432" t="str">
            <v>----------------------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</row>
        <row r="1433">
          <cell r="A1433" t="str">
            <v>Liability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</row>
        <row r="1434"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</row>
        <row r="1435">
          <cell r="A1435">
            <v>240040079</v>
          </cell>
          <cell r="B1435" t="str">
            <v>A/CS PAYABLE  FOREIGN DRAFTS [US</v>
          </cell>
          <cell r="C1435">
            <v>0</v>
          </cell>
          <cell r="D1435">
            <v>26719602.52</v>
          </cell>
          <cell r="E1435">
            <v>26719602.52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26719602.52</v>
          </cell>
          <cell r="T1435">
            <v>26719602.52</v>
          </cell>
        </row>
        <row r="1436">
          <cell r="A1436">
            <v>240040080</v>
          </cell>
          <cell r="B1436" t="str">
            <v>ATM CASH RETRACT PAYABLE A/C</v>
          </cell>
          <cell r="C1436">
            <v>28143246.34</v>
          </cell>
          <cell r="D1436">
            <v>3693344.57</v>
          </cell>
          <cell r="E1436">
            <v>31836590.91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31836590.91</v>
          </cell>
          <cell r="T1436">
            <v>31836590.91</v>
          </cell>
        </row>
        <row r="1437">
          <cell r="A1437">
            <v>240040081</v>
          </cell>
          <cell r="B1437" t="str">
            <v>A/C PAYABLE INTERSWITCH/MERCHANT</v>
          </cell>
          <cell r="C1437">
            <v>0</v>
          </cell>
          <cell r="D1437">
            <v>0</v>
          </cell>
          <cell r="E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</row>
        <row r="1438">
          <cell r="A1438">
            <v>240040082</v>
          </cell>
          <cell r="B1438" t="str">
            <v>MONEYGRAM PAYABLE ACCOUNT</v>
          </cell>
          <cell r="C1438">
            <v>0</v>
          </cell>
          <cell r="D1438">
            <v>0</v>
          </cell>
          <cell r="E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</row>
        <row r="1439">
          <cell r="A1439">
            <v>240040083</v>
          </cell>
          <cell r="B1439" t="str">
            <v>MONEYGRAM FEES &amp; CHARGES PAYABLE</v>
          </cell>
          <cell r="C1439">
            <v>0</v>
          </cell>
          <cell r="D1439">
            <v>0</v>
          </cell>
          <cell r="E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</row>
        <row r="1440">
          <cell r="A1440">
            <v>240040084</v>
          </cell>
          <cell r="B1440" t="str">
            <v>FGN BOND DICSOUNT RECVDá (AMORTI</v>
          </cell>
          <cell r="C1440">
            <v>0</v>
          </cell>
          <cell r="D1440">
            <v>0</v>
          </cell>
          <cell r="E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</row>
        <row r="1441">
          <cell r="A1441">
            <v>240040085</v>
          </cell>
          <cell r="B1441" t="str">
            <v>FGN BOND DICSOUNT RECVDáá (FVTOC</v>
          </cell>
          <cell r="C1441">
            <v>0</v>
          </cell>
          <cell r="D1441">
            <v>0</v>
          </cell>
          <cell r="E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</row>
        <row r="1442">
          <cell r="A1442">
            <v>240040086</v>
          </cell>
          <cell r="B1442" t="str">
            <v>FGN BOND DICSOUNT RECVDá (FVTPL)</v>
          </cell>
          <cell r="C1442">
            <v>0</v>
          </cell>
          <cell r="D1442">
            <v>0</v>
          </cell>
          <cell r="E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</row>
        <row r="1443">
          <cell r="A1443">
            <v>240040087</v>
          </cell>
          <cell r="B1443" t="str">
            <v>CORP BOND DICSOUNT RECVDá (AMORT</v>
          </cell>
          <cell r="C1443">
            <v>2849163.77</v>
          </cell>
          <cell r="D1443">
            <v>0</v>
          </cell>
          <cell r="E1443">
            <v>2849163.77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2849163.77</v>
          </cell>
          <cell r="T1443">
            <v>2849163.77</v>
          </cell>
        </row>
        <row r="1444">
          <cell r="A1444">
            <v>240040089</v>
          </cell>
          <cell r="B1444" t="str">
            <v>CORP BOND DICSOUNT RECVDá (FVTPL</v>
          </cell>
          <cell r="C1444">
            <v>0</v>
          </cell>
          <cell r="D1444">
            <v>0</v>
          </cell>
          <cell r="E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</row>
        <row r="1445">
          <cell r="A1445">
            <v>240040090</v>
          </cell>
          <cell r="B1445" t="str">
            <v>EURO BOND DICSOUNT RECVDá (AMORT</v>
          </cell>
          <cell r="C1445">
            <v>140455.60999999999</v>
          </cell>
          <cell r="D1445">
            <v>-240742560</v>
          </cell>
          <cell r="E1445">
            <v>-240602104.38999999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200177335.37199998</v>
          </cell>
          <cell r="P1445">
            <v>0</v>
          </cell>
          <cell r="Q1445">
            <v>0</v>
          </cell>
          <cell r="R1445">
            <v>0</v>
          </cell>
          <cell r="S1445">
            <v>-40424769.018000007</v>
          </cell>
          <cell r="T1445">
            <v>-40424769.018000007</v>
          </cell>
        </row>
        <row r="1446">
          <cell r="A1446">
            <v>240040092</v>
          </cell>
          <cell r="B1446" t="str">
            <v>EURO BOND DICSOUNT RECVDá (FVTPL</v>
          </cell>
          <cell r="C1446">
            <v>0</v>
          </cell>
          <cell r="D1446">
            <v>2968100475</v>
          </cell>
          <cell r="E1446">
            <v>2968100475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2968100475</v>
          </cell>
          <cell r="T1446">
            <v>2968100475</v>
          </cell>
        </row>
        <row r="1447">
          <cell r="A1447">
            <v>240040093</v>
          </cell>
          <cell r="B1447" t="str">
            <v>STATE GOVT BOND DICSOUNT RECVDá</v>
          </cell>
          <cell r="C1447">
            <v>5651519.5499999998</v>
          </cell>
          <cell r="D1447">
            <v>0</v>
          </cell>
          <cell r="E1447">
            <v>5651519.5499999998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5651519.5499999998</v>
          </cell>
          <cell r="T1447">
            <v>5651519.5499999998</v>
          </cell>
        </row>
        <row r="1448">
          <cell r="A1448">
            <v>240040096</v>
          </cell>
          <cell r="B1448" t="str">
            <v>FGN BOND INT RECVD IN ADVá (AMOR</v>
          </cell>
          <cell r="C1448">
            <v>0</v>
          </cell>
          <cell r="D1448">
            <v>0</v>
          </cell>
          <cell r="E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</row>
        <row r="1449">
          <cell r="A1449">
            <v>240040097</v>
          </cell>
          <cell r="B1449" t="str">
            <v>FGN BOND INT RECVD IN ADVáá (FVT</v>
          </cell>
          <cell r="C1449">
            <v>0</v>
          </cell>
          <cell r="D1449">
            <v>0</v>
          </cell>
          <cell r="E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</row>
        <row r="1450">
          <cell r="A1450">
            <v>240040098</v>
          </cell>
          <cell r="B1450" t="str">
            <v>FGN BOND INT RECVD IN ADVá (FVTP</v>
          </cell>
          <cell r="C1450">
            <v>-0.01</v>
          </cell>
          <cell r="D1450">
            <v>0</v>
          </cell>
          <cell r="E1450">
            <v>-0.01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-0.01</v>
          </cell>
          <cell r="T1450">
            <v>-0.01</v>
          </cell>
        </row>
        <row r="1451">
          <cell r="A1451">
            <v>240040100</v>
          </cell>
          <cell r="B1451" t="str">
            <v>CORP BOND INT RECVD IN ADVáá (FV</v>
          </cell>
          <cell r="C1451">
            <v>0</v>
          </cell>
          <cell r="D1451">
            <v>0</v>
          </cell>
          <cell r="E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</row>
        <row r="1452">
          <cell r="A1452">
            <v>240040108</v>
          </cell>
          <cell r="B1452" t="str">
            <v>COUPON PAYABLE A/C</v>
          </cell>
          <cell r="C1452">
            <v>0</v>
          </cell>
          <cell r="D1452">
            <v>0</v>
          </cell>
          <cell r="E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</row>
        <row r="1453">
          <cell r="A1453">
            <v>240040109</v>
          </cell>
          <cell r="B1453" t="str">
            <v>CUSTODIAN FEE PAYABLE A/C</v>
          </cell>
          <cell r="C1453">
            <v>13920114.57</v>
          </cell>
          <cell r="D1453">
            <v>0</v>
          </cell>
          <cell r="E1453">
            <v>13920114.57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13920114.57</v>
          </cell>
          <cell r="T1453">
            <v>13920114.57</v>
          </cell>
        </row>
        <row r="1454">
          <cell r="A1454">
            <v>240040110</v>
          </cell>
          <cell r="B1454" t="str">
            <v>VAT PAYABLE ON CUSTODIAN FEE (T.</v>
          </cell>
          <cell r="C1454">
            <v>5238766</v>
          </cell>
          <cell r="D1454">
            <v>0</v>
          </cell>
          <cell r="E1454">
            <v>5238766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5238766</v>
          </cell>
          <cell r="T1454">
            <v>5238766</v>
          </cell>
        </row>
        <row r="1455">
          <cell r="A1455">
            <v>240040112</v>
          </cell>
          <cell r="B1455" t="str">
            <v>MBL - ON LENDING - OBLIGATIONS</v>
          </cell>
          <cell r="C1455">
            <v>0</v>
          </cell>
          <cell r="D1455">
            <v>0</v>
          </cell>
          <cell r="E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</row>
        <row r="1456">
          <cell r="A1456">
            <v>240040113</v>
          </cell>
          <cell r="B1456" t="str">
            <v>FUNDS RECEIVED FROM BRANCHES</v>
          </cell>
          <cell r="C1456">
            <v>0</v>
          </cell>
          <cell r="D1456">
            <v>0</v>
          </cell>
          <cell r="E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</row>
        <row r="1457">
          <cell r="A1457">
            <v>240040114</v>
          </cell>
          <cell r="B1457" t="str">
            <v>MBL - F A D  -SUNDRY ACCOUNT</v>
          </cell>
          <cell r="C1457">
            <v>0</v>
          </cell>
          <cell r="D1457">
            <v>0</v>
          </cell>
          <cell r="E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</row>
        <row r="1458">
          <cell r="A1458">
            <v>240040116</v>
          </cell>
          <cell r="B1458" t="str">
            <v>MBL - FEES RECEIVED IN ADVANCE</v>
          </cell>
          <cell r="C1458">
            <v>0</v>
          </cell>
          <cell r="D1458">
            <v>0</v>
          </cell>
          <cell r="E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</row>
        <row r="1459">
          <cell r="A1459">
            <v>240040117</v>
          </cell>
          <cell r="B1459" t="str">
            <v>VULTe CARD TRANSIT ACCOUNT</v>
          </cell>
          <cell r="C1459">
            <v>0</v>
          </cell>
          <cell r="D1459">
            <v>0</v>
          </cell>
          <cell r="E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</row>
        <row r="1460">
          <cell r="A1460">
            <v>240040120</v>
          </cell>
          <cell r="B1460" t="str">
            <v>FGN BOND DISCOUNT (FVTPL)</v>
          </cell>
          <cell r="C1460">
            <v>0</v>
          </cell>
          <cell r="D1460">
            <v>0</v>
          </cell>
          <cell r="E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</row>
        <row r="1461">
          <cell r="A1461">
            <v>240040121</v>
          </cell>
          <cell r="B1461" t="str">
            <v>FGN BONDS DISCOUNT  (AMORTISED C</v>
          </cell>
          <cell r="C1461">
            <v>0</v>
          </cell>
          <cell r="D1461">
            <v>0</v>
          </cell>
          <cell r="E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</row>
        <row r="1462">
          <cell r="A1462">
            <v>240040130</v>
          </cell>
          <cell r="B1462" t="str">
            <v>AMORTISED COST VALUE FGN BONDS</v>
          </cell>
          <cell r="C1462">
            <v>0</v>
          </cell>
          <cell r="D1462">
            <v>0</v>
          </cell>
          <cell r="E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</row>
        <row r="1463">
          <cell r="A1463">
            <v>240040131</v>
          </cell>
          <cell r="B1463" t="str">
            <v>AMORTISED COST VALUE T.BILLS-MEA</v>
          </cell>
          <cell r="C1463">
            <v>0</v>
          </cell>
          <cell r="D1463">
            <v>0</v>
          </cell>
          <cell r="E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</row>
        <row r="1464">
          <cell r="A1464">
            <v>240040132</v>
          </cell>
          <cell r="B1464" t="str">
            <v>ACCOUNTS PAYABLE -CREDITORS</v>
          </cell>
          <cell r="C1464">
            <v>0</v>
          </cell>
          <cell r="D1464">
            <v>0</v>
          </cell>
          <cell r="E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</row>
        <row r="1465">
          <cell r="A1465">
            <v>240040135</v>
          </cell>
          <cell r="B1465" t="str">
            <v>POLARIS - PAYABLE - STAFF RELATE</v>
          </cell>
          <cell r="C1465">
            <v>0</v>
          </cell>
          <cell r="D1465">
            <v>0</v>
          </cell>
          <cell r="E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</row>
        <row r="1466">
          <cell r="A1466">
            <v>240040137</v>
          </cell>
          <cell r="B1466" t="str">
            <v>AMORTISED COST VALUE CORP BONDS-</v>
          </cell>
          <cell r="C1466">
            <v>5254907.0199999996</v>
          </cell>
          <cell r="D1466">
            <v>0</v>
          </cell>
          <cell r="E1466">
            <v>5254907.0199999996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5254907.0199999996</v>
          </cell>
          <cell r="T1466">
            <v>-5254907.0199999996</v>
          </cell>
        </row>
        <row r="1467">
          <cell r="A1467">
            <v>240040138</v>
          </cell>
          <cell r="B1467" t="str">
            <v>AMORTISED COST VALUE STATE GOVT-</v>
          </cell>
          <cell r="C1467">
            <v>133901957.61</v>
          </cell>
          <cell r="D1467">
            <v>0</v>
          </cell>
          <cell r="E1467">
            <v>133901957.61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133901957.61</v>
          </cell>
          <cell r="T1467">
            <v>-133901957.61</v>
          </cell>
        </row>
        <row r="1468">
          <cell r="A1468">
            <v>240040139</v>
          </cell>
          <cell r="B1468" t="str">
            <v>AMORTISED COST VALUE EURO BONDS-</v>
          </cell>
          <cell r="C1468">
            <v>0</v>
          </cell>
          <cell r="D1468">
            <v>0</v>
          </cell>
          <cell r="E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</row>
        <row r="1469">
          <cell r="A1469">
            <v>240040140</v>
          </cell>
          <cell r="B1469" t="str">
            <v>AMORTISED COST VALUE PROMISORY N</v>
          </cell>
          <cell r="C1469">
            <v>0</v>
          </cell>
          <cell r="D1469">
            <v>0</v>
          </cell>
          <cell r="E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</row>
        <row r="1470">
          <cell r="A1470">
            <v>240040141</v>
          </cell>
          <cell r="B1470" t="str">
            <v>AMORTISED COST VALUE COMMERCIAL-</v>
          </cell>
          <cell r="C1470">
            <v>0</v>
          </cell>
          <cell r="D1470">
            <v>0</v>
          </cell>
          <cell r="E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</row>
        <row r="1471">
          <cell r="A1471">
            <v>240040142</v>
          </cell>
          <cell r="B1471" t="str">
            <v>R - TAG BUSINESS REG</v>
          </cell>
          <cell r="C1471">
            <v>81000</v>
          </cell>
          <cell r="D1471">
            <v>0</v>
          </cell>
          <cell r="E1471">
            <v>81000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81000</v>
          </cell>
          <cell r="T1471">
            <v>81000</v>
          </cell>
        </row>
        <row r="1472">
          <cell r="A1472">
            <v>240040143</v>
          </cell>
          <cell r="B1472" t="str">
            <v>A/C Payable Banque Libano CNY Ac</v>
          </cell>
          <cell r="C1472">
            <v>0</v>
          </cell>
          <cell r="D1472">
            <v>3074025.61</v>
          </cell>
          <cell r="E1472">
            <v>3074025.61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3074025.61</v>
          </cell>
          <cell r="T1472">
            <v>3074025.61</v>
          </cell>
        </row>
        <row r="1473">
          <cell r="A1473">
            <v>240040144</v>
          </cell>
          <cell r="B1473" t="str">
            <v>A/C Payable  Bank BHF CNY ACCOUN</v>
          </cell>
          <cell r="C1473">
            <v>0</v>
          </cell>
          <cell r="D1473">
            <v>0</v>
          </cell>
          <cell r="E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</row>
        <row r="1474">
          <cell r="A1474">
            <v>240040145</v>
          </cell>
          <cell r="B1474" t="str">
            <v>A/C Payable  CITI BANK CASH  ACC</v>
          </cell>
          <cell r="C1474">
            <v>0</v>
          </cell>
          <cell r="D1474">
            <v>0</v>
          </cell>
          <cell r="E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</row>
        <row r="1475">
          <cell r="A1475">
            <v>240040146</v>
          </cell>
          <cell r="B1475" t="str">
            <v>SBG CBN-MSMEDF INTERVENTION FUND</v>
          </cell>
          <cell r="C1475">
            <v>0</v>
          </cell>
          <cell r="D1475">
            <v>0</v>
          </cell>
          <cell r="E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</row>
        <row r="1476">
          <cell r="A1476">
            <v>240040148</v>
          </cell>
          <cell r="B1476" t="str">
            <v>MBL - COLLECTION ACCOUNT</v>
          </cell>
          <cell r="C1476">
            <v>8426962.3800000008</v>
          </cell>
          <cell r="D1476">
            <v>0</v>
          </cell>
          <cell r="E1476">
            <v>8426962.3800000008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8426962.3800000008</v>
          </cell>
          <cell r="T1476">
            <v>8426962.3800000008</v>
          </cell>
        </row>
        <row r="1477">
          <cell r="A1477">
            <v>240040149</v>
          </cell>
          <cell r="B1477" t="str">
            <v>ACCOUNT PAYABLE - POLARIS JAMB D</v>
          </cell>
          <cell r="C1477">
            <v>0</v>
          </cell>
          <cell r="D1477">
            <v>0</v>
          </cell>
          <cell r="E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</row>
        <row r="1478">
          <cell r="A1478">
            <v>240040150</v>
          </cell>
          <cell r="B1478" t="str">
            <v>MONEY EXPRESS - VENDOR A/C</v>
          </cell>
          <cell r="C1478">
            <v>6986597.1900000004</v>
          </cell>
          <cell r="D1478">
            <v>0</v>
          </cell>
          <cell r="E1478">
            <v>6986597.1900000004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6986597.1900000004</v>
          </cell>
          <cell r="T1478">
            <v>6986597.1900000004</v>
          </cell>
        </row>
        <row r="1479">
          <cell r="A1479" t="str">
            <v>_x0012_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</row>
        <row r="1480"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</row>
        <row r="1481">
          <cell r="C1481" t="str">
            <v>Polaris Bank Limited, N</v>
          </cell>
          <cell r="D1481" t="str">
            <v>igeria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</row>
        <row r="1482">
          <cell r="C1482" t="str">
            <v>** Consolidated Balance Shee</v>
          </cell>
          <cell r="D1482" t="str">
            <v>t CBN **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</row>
        <row r="1483"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</row>
        <row r="1484">
          <cell r="C1484" t="str">
            <v>As on :     31-OCT-2025</v>
          </cell>
          <cell r="E1484" t="str">
            <v>Page   :   27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</row>
        <row r="1485"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</row>
        <row r="1486">
          <cell r="A1486" t="str">
            <v>User Id :</v>
          </cell>
          <cell r="B1486" t="str">
            <v>SYSTEM</v>
          </cell>
          <cell r="C1486" t="str">
            <v>Date 1 Time :     01-NOV-2025</v>
          </cell>
          <cell r="D1486">
            <v>0.21625000000000003</v>
          </cell>
          <cell r="E1486" t="str">
            <v>Module :   GL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</row>
        <row r="1487">
          <cell r="A1487" t="str">
            <v>----------</v>
          </cell>
          <cell r="B1487" t="str">
            <v>----------------------------------------</v>
          </cell>
          <cell r="C1487" t="str">
            <v>------------------------------</v>
          </cell>
          <cell r="D1487" t="str">
            <v>------------------------------</v>
          </cell>
          <cell r="E1487" t="str">
            <v>----------------------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</row>
        <row r="1488">
          <cell r="A1488" t="str">
            <v>GL Code</v>
          </cell>
          <cell r="B1488" t="str">
            <v>Description</v>
          </cell>
          <cell r="C1488" t="str">
            <v>LCY Amount</v>
          </cell>
          <cell r="D1488" t="str">
            <v>FCY Amount (Lcy Eq)</v>
          </cell>
          <cell r="E1488" t="str">
            <v>Total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</row>
        <row r="1489"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</row>
        <row r="1490">
          <cell r="A1490" t="str">
            <v>----------</v>
          </cell>
          <cell r="B1490" t="str">
            <v>----------------------------------------</v>
          </cell>
          <cell r="C1490" t="str">
            <v>------------------------------</v>
          </cell>
          <cell r="D1490" t="str">
            <v>------------------------------</v>
          </cell>
          <cell r="E1490" t="str">
            <v>----------------------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</row>
        <row r="1491">
          <cell r="A1491" t="str">
            <v>Liability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</row>
        <row r="1492"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</row>
        <row r="1493">
          <cell r="A1493">
            <v>240040151</v>
          </cell>
          <cell r="B1493" t="str">
            <v>SUREPADI LOAN INSURANCE</v>
          </cell>
          <cell r="C1493">
            <v>10231387.140000001</v>
          </cell>
          <cell r="D1493">
            <v>0</v>
          </cell>
          <cell r="E1493">
            <v>10231387.140000001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10231387.140000001</v>
          </cell>
          <cell r="T1493">
            <v>10231387.140000001</v>
          </cell>
        </row>
        <row r="1494">
          <cell r="A1494">
            <v>240040152</v>
          </cell>
          <cell r="B1494" t="str">
            <v>A/C PAYABLE FORM M (CBN)</v>
          </cell>
          <cell r="C1494">
            <v>5326700</v>
          </cell>
          <cell r="D1494">
            <v>0</v>
          </cell>
          <cell r="E1494">
            <v>5326700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5326700</v>
          </cell>
          <cell r="T1494">
            <v>5326700</v>
          </cell>
        </row>
        <row r="1495">
          <cell r="A1495">
            <v>240040171</v>
          </cell>
          <cell r="B1495" t="str">
            <v>CBN-INTERVENTION FUND (STATE BAI</v>
          </cell>
          <cell r="C1495">
            <v>42664830794.620003</v>
          </cell>
          <cell r="D1495">
            <v>0</v>
          </cell>
          <cell r="E1495">
            <v>42664830794.620003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42664830794.620003</v>
          </cell>
          <cell r="T1495">
            <v>42664830794.620003</v>
          </cell>
        </row>
        <row r="1496">
          <cell r="A1496">
            <v>240040172</v>
          </cell>
          <cell r="B1496" t="str">
            <v>INSURANCE PREMIUM (RETAIL SBG-IN</v>
          </cell>
          <cell r="C1496">
            <v>1168946.02</v>
          </cell>
          <cell r="D1496">
            <v>0</v>
          </cell>
          <cell r="E1496">
            <v>1168946.02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1168946.02</v>
          </cell>
          <cell r="T1496">
            <v>1168946.02</v>
          </cell>
        </row>
        <row r="1497">
          <cell r="A1497">
            <v>240040173</v>
          </cell>
          <cell r="B1497" t="str">
            <v>CBN-INTERVENTION FUND (EXCESS CR</v>
          </cell>
          <cell r="C1497">
            <v>14874150394.139999</v>
          </cell>
          <cell r="D1497">
            <v>0</v>
          </cell>
          <cell r="E1497">
            <v>14874150394.139999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14874150394.139999</v>
          </cell>
          <cell r="T1497">
            <v>14874150394.139999</v>
          </cell>
        </row>
        <row r="1498">
          <cell r="A1498">
            <v>240040174</v>
          </cell>
          <cell r="B1498" t="str">
            <v>BOOK TRANSFER TRANSIT</v>
          </cell>
          <cell r="C1498">
            <v>0</v>
          </cell>
          <cell r="D1498">
            <v>0</v>
          </cell>
          <cell r="E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</row>
        <row r="1499">
          <cell r="A1499">
            <v>240040175</v>
          </cell>
          <cell r="B1499" t="str">
            <v>AMORTISED COST-FOREIGN BORROWING</v>
          </cell>
          <cell r="C1499">
            <v>0</v>
          </cell>
          <cell r="D1499">
            <v>0</v>
          </cell>
          <cell r="E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</row>
        <row r="1500">
          <cell r="A1500">
            <v>240040176</v>
          </cell>
          <cell r="B1500" t="str">
            <v>AMORTISED COST-LOCAL BORROWINGS</v>
          </cell>
          <cell r="C1500">
            <v>342997752.30000001</v>
          </cell>
          <cell r="D1500">
            <v>0</v>
          </cell>
          <cell r="E1500">
            <v>342997752.30000001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342997752.30000001</v>
          </cell>
          <cell r="T1500">
            <v>342997752.30000001</v>
          </cell>
        </row>
        <row r="1501">
          <cell r="A1501">
            <v>240040177</v>
          </cell>
          <cell r="B1501" t="str">
            <v>PERSONAL LOAN INSURANCE PREMIUM</v>
          </cell>
          <cell r="C1501">
            <v>107343650.20999999</v>
          </cell>
          <cell r="D1501">
            <v>0</v>
          </cell>
          <cell r="E1501">
            <v>107343650.20999999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107343650.20999999</v>
          </cell>
          <cell r="T1501">
            <v>107343650.20999999</v>
          </cell>
        </row>
        <row r="1502">
          <cell r="A1502">
            <v>240040178</v>
          </cell>
          <cell r="B1502" t="str">
            <v>SBG-POLARIS BUSINESS INSURANCE P</v>
          </cell>
          <cell r="C1502">
            <v>7146599.9299999997</v>
          </cell>
          <cell r="D1502">
            <v>0</v>
          </cell>
          <cell r="E1502">
            <v>7146599.9299999997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7146599.9299999997</v>
          </cell>
          <cell r="T1502">
            <v>7146599.9299999997</v>
          </cell>
        </row>
        <row r="1503">
          <cell r="A1503">
            <v>240040180</v>
          </cell>
          <cell r="B1503" t="str">
            <v>PERSONAL LOAN INSURANCE PAYABLE</v>
          </cell>
          <cell r="C1503">
            <v>20174984.649999999</v>
          </cell>
          <cell r="D1503">
            <v>0</v>
          </cell>
          <cell r="E1503">
            <v>20174984.649999999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20174984.649999999</v>
          </cell>
          <cell r="T1503">
            <v>20174984.649999999</v>
          </cell>
        </row>
        <row r="1504">
          <cell r="A1504">
            <v>240040181</v>
          </cell>
          <cell r="B1504" t="str">
            <v>SME METH. INS. BRIDGE GL</v>
          </cell>
          <cell r="C1504">
            <v>3505919.97</v>
          </cell>
          <cell r="D1504">
            <v>0</v>
          </cell>
          <cell r="E1504">
            <v>3505919.97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3505919.97</v>
          </cell>
          <cell r="T1504">
            <v>3505919.97</v>
          </cell>
        </row>
        <row r="1505">
          <cell r="A1505">
            <v>240040182</v>
          </cell>
          <cell r="B1505" t="str">
            <v>WUMT FEES &amp; CHARGES PAYABLE GL</v>
          </cell>
          <cell r="C1505">
            <v>19500</v>
          </cell>
          <cell r="D1505">
            <v>0</v>
          </cell>
          <cell r="E1505">
            <v>19500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19500</v>
          </cell>
          <cell r="T1505">
            <v>19500</v>
          </cell>
        </row>
        <row r="1506">
          <cell r="A1506">
            <v>240040183</v>
          </cell>
          <cell r="B1506" t="str">
            <v>GAMBIA OFFSHORE DOM</v>
          </cell>
          <cell r="C1506">
            <v>0</v>
          </cell>
          <cell r="D1506">
            <v>0</v>
          </cell>
          <cell r="E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</row>
        <row r="1507">
          <cell r="A1507">
            <v>240040184</v>
          </cell>
          <cell r="B1507" t="str">
            <v>GUINEA OFFSHORE DOM</v>
          </cell>
          <cell r="C1507">
            <v>0</v>
          </cell>
          <cell r="D1507">
            <v>0</v>
          </cell>
          <cell r="E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</row>
        <row r="1508">
          <cell r="A1508">
            <v>240040185</v>
          </cell>
          <cell r="B1508" t="str">
            <v>SIERRA-LEONE OFFSHORE DOM</v>
          </cell>
          <cell r="C1508">
            <v>0</v>
          </cell>
          <cell r="D1508">
            <v>0</v>
          </cell>
          <cell r="E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</row>
        <row r="1509">
          <cell r="A1509">
            <v>240040186</v>
          </cell>
          <cell r="B1509" t="str">
            <v>PROV FOR MATURED LC OBLIGATION</v>
          </cell>
          <cell r="C1509">
            <v>0</v>
          </cell>
          <cell r="D1509">
            <v>-66156178.869999997</v>
          </cell>
          <cell r="E1509">
            <v>-66156178.869999997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-66156178.869999997</v>
          </cell>
          <cell r="T1509">
            <v>-66156178.869999997</v>
          </cell>
        </row>
        <row r="1510">
          <cell r="A1510">
            <v>240040187</v>
          </cell>
          <cell r="B1510" t="str">
            <v>A/C PAYABLE SMS CHARGED TO CUSTO</v>
          </cell>
          <cell r="C1510">
            <v>129339572.56</v>
          </cell>
          <cell r="D1510">
            <v>74162.399999999994</v>
          </cell>
          <cell r="E1510">
            <v>129413734.95999999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129413734.95999999</v>
          </cell>
          <cell r="T1510">
            <v>129413734.95999999</v>
          </cell>
        </row>
        <row r="1511">
          <cell r="A1511">
            <v>240040188</v>
          </cell>
          <cell r="B1511" t="str">
            <v>A/C PAYABLE BHF BANK CASH COVER</v>
          </cell>
          <cell r="C1511">
            <v>0</v>
          </cell>
          <cell r="D1511">
            <v>9342718661.9400005</v>
          </cell>
          <cell r="E1511">
            <v>9342718661.9400005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9342718661.9400005</v>
          </cell>
          <cell r="T1511">
            <v>9342718661.9400005</v>
          </cell>
        </row>
        <row r="1512">
          <cell r="A1512">
            <v>240040189</v>
          </cell>
          <cell r="B1512" t="str">
            <v>VULTe ACQUISITION DRIVE</v>
          </cell>
          <cell r="C1512">
            <v>8782200</v>
          </cell>
          <cell r="D1512">
            <v>0</v>
          </cell>
          <cell r="E1512">
            <v>8782200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8782200</v>
          </cell>
          <cell r="T1512">
            <v>8782200</v>
          </cell>
        </row>
        <row r="1513">
          <cell r="A1513">
            <v>240040190</v>
          </cell>
          <cell r="B1513" t="str">
            <v>A/C PAYABLE NXPs CHARGES</v>
          </cell>
          <cell r="C1513">
            <v>243000</v>
          </cell>
          <cell r="D1513">
            <v>0</v>
          </cell>
          <cell r="E1513">
            <v>243000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243000</v>
          </cell>
          <cell r="T1513">
            <v>243000</v>
          </cell>
        </row>
        <row r="1514">
          <cell r="A1514">
            <v>240040191</v>
          </cell>
          <cell r="B1514" t="str">
            <v>IMTO CONVERSION GL</v>
          </cell>
          <cell r="C1514">
            <v>-1090184400</v>
          </cell>
          <cell r="D1514">
            <v>1090184400</v>
          </cell>
          <cell r="E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</row>
        <row r="1515">
          <cell r="A1515">
            <v>240040192</v>
          </cell>
          <cell r="B1515" t="str">
            <v>A/C PAYABLE MCASH FEES</v>
          </cell>
          <cell r="C1515">
            <v>81833.34</v>
          </cell>
          <cell r="D1515">
            <v>0</v>
          </cell>
          <cell r="E1515">
            <v>81833.34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81833.34</v>
          </cell>
          <cell r="T1515">
            <v>81833.34</v>
          </cell>
        </row>
        <row r="1516">
          <cell r="A1516">
            <v>240040193</v>
          </cell>
          <cell r="B1516" t="str">
            <v>A/C PAYABLE ATM CASH OVERAGE</v>
          </cell>
          <cell r="C1516">
            <v>610000</v>
          </cell>
          <cell r="D1516">
            <v>0</v>
          </cell>
          <cell r="E1516">
            <v>610000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610000</v>
          </cell>
          <cell r="T1516">
            <v>610000</v>
          </cell>
        </row>
        <row r="1517">
          <cell r="A1517">
            <v>240040194</v>
          </cell>
          <cell r="B1517" t="str">
            <v>SFS -RIVERS MONORAIL OBLIGATION</v>
          </cell>
          <cell r="C1517">
            <v>0</v>
          </cell>
          <cell r="D1517">
            <v>0</v>
          </cell>
          <cell r="E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</row>
        <row r="1518">
          <cell r="A1518">
            <v>240040195</v>
          </cell>
          <cell r="B1518" t="str">
            <v>E-Form A PAYABLE GL</v>
          </cell>
          <cell r="C1518">
            <v>4271678.75</v>
          </cell>
          <cell r="D1518">
            <v>0</v>
          </cell>
          <cell r="E1518">
            <v>4271678.75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4271678.75</v>
          </cell>
          <cell r="T1518">
            <v>4271678.75</v>
          </cell>
        </row>
        <row r="1519">
          <cell r="A1519">
            <v>240040196</v>
          </cell>
          <cell r="B1519" t="str">
            <v>PROV FOR AMCON CLAWBACK</v>
          </cell>
          <cell r="C1519">
            <v>0</v>
          </cell>
          <cell r="D1519">
            <v>0</v>
          </cell>
          <cell r="E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</row>
        <row r="1520">
          <cell r="A1520">
            <v>240040197</v>
          </cell>
          <cell r="B1520" t="str">
            <v>UNEARNED INCOME P INT</v>
          </cell>
          <cell r="C1520">
            <v>6280142709.9899998</v>
          </cell>
          <cell r="D1520">
            <v>2905880639.1799998</v>
          </cell>
          <cell r="E1520">
            <v>9186023349.1700001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63737920.429999851</v>
          </cell>
          <cell r="P1520">
            <v>0</v>
          </cell>
          <cell r="Q1520">
            <v>0</v>
          </cell>
          <cell r="R1520">
            <v>0</v>
          </cell>
          <cell r="S1520">
            <v>9249761269.6000004</v>
          </cell>
          <cell r="T1520">
            <v>9249761269.6000004</v>
          </cell>
        </row>
        <row r="1521">
          <cell r="A1521">
            <v>240040198</v>
          </cell>
          <cell r="B1521" t="str">
            <v>A/CS PAYABLE  QUICKTELLER VAS TR</v>
          </cell>
          <cell r="C1521">
            <v>376127.22</v>
          </cell>
          <cell r="D1521">
            <v>0</v>
          </cell>
          <cell r="E1521">
            <v>376127.22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376127.22</v>
          </cell>
          <cell r="T1521">
            <v>376127.22</v>
          </cell>
        </row>
        <row r="1522">
          <cell r="A1522">
            <v>240040199</v>
          </cell>
          <cell r="B1522" t="str">
            <v>A/C PAYABLE USSD FEES CHARGED</v>
          </cell>
          <cell r="C1522">
            <v>23.6</v>
          </cell>
          <cell r="D1522">
            <v>0</v>
          </cell>
          <cell r="E1522">
            <v>23.6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23.6</v>
          </cell>
          <cell r="T1522">
            <v>23.6</v>
          </cell>
        </row>
        <row r="1523">
          <cell r="A1523">
            <v>240040200</v>
          </cell>
          <cell r="B1523" t="str">
            <v>UNIFIED TAGLESS ROUS FEES PAYABL</v>
          </cell>
          <cell r="C1523">
            <v>4231.1400000000003</v>
          </cell>
          <cell r="D1523">
            <v>0</v>
          </cell>
          <cell r="E1523">
            <v>4231.1400000000003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4231.1400000000003</v>
          </cell>
          <cell r="T1523">
            <v>4231.1400000000003</v>
          </cell>
        </row>
        <row r="1524">
          <cell r="A1524">
            <v>240040201</v>
          </cell>
          <cell r="B1524" t="str">
            <v>FIRST BANK CNY CASH COLLATERAL A</v>
          </cell>
          <cell r="C1524">
            <v>0</v>
          </cell>
          <cell r="D1524">
            <v>399302083.06</v>
          </cell>
          <cell r="E1524">
            <v>399302083.06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399302083.06</v>
          </cell>
          <cell r="T1524">
            <v>399302083.06</v>
          </cell>
        </row>
        <row r="1525">
          <cell r="A1525">
            <v>240040203</v>
          </cell>
          <cell r="B1525" t="str">
            <v>AGSMIES PAYABLE- PRINCIPAL</v>
          </cell>
          <cell r="C1525">
            <v>9999.98</v>
          </cell>
          <cell r="D1525">
            <v>0</v>
          </cell>
          <cell r="E1525">
            <v>9999.98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9999.98</v>
          </cell>
          <cell r="T1525">
            <v>9999.98</v>
          </cell>
        </row>
        <row r="1526">
          <cell r="A1526">
            <v>240040204</v>
          </cell>
          <cell r="B1526" t="str">
            <v>A/C PAYABLE CARD PERSONALISATION</v>
          </cell>
          <cell r="C1526">
            <v>-15670922.390000001</v>
          </cell>
          <cell r="D1526">
            <v>13389514.289999999</v>
          </cell>
          <cell r="E1526">
            <v>-2281408.1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2281408.1</v>
          </cell>
          <cell r="T1526">
            <v>2281408.1</v>
          </cell>
        </row>
        <row r="1527">
          <cell r="A1527">
            <v>240040205</v>
          </cell>
          <cell r="B1527" t="str">
            <v>A/C PAYABLE - AGENCY BANKING FEE</v>
          </cell>
          <cell r="C1527">
            <v>2779100.07</v>
          </cell>
          <cell r="D1527">
            <v>0</v>
          </cell>
          <cell r="E1527">
            <v>2779100.07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2779100.07</v>
          </cell>
          <cell r="T1527">
            <v>2779100.07</v>
          </cell>
        </row>
        <row r="1528">
          <cell r="A1528">
            <v>240040206</v>
          </cell>
          <cell r="B1528" t="str">
            <v>CBN/INTERBANK TRANSIT- INVISIBLE</v>
          </cell>
          <cell r="C1528">
            <v>0</v>
          </cell>
          <cell r="D1528">
            <v>0</v>
          </cell>
          <cell r="E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</row>
        <row r="1529">
          <cell r="A1529">
            <v>240040208</v>
          </cell>
          <cell r="B1529" t="str">
            <v>AFRIGO CARD- ROU FEE PAYABLE</v>
          </cell>
          <cell r="C1529">
            <v>18735</v>
          </cell>
          <cell r="D1529">
            <v>0</v>
          </cell>
          <cell r="E1529">
            <v>18735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18735</v>
          </cell>
          <cell r="T1529">
            <v>18735</v>
          </cell>
        </row>
        <row r="1530">
          <cell r="A1530">
            <v>240040209</v>
          </cell>
          <cell r="B1530" t="str">
            <v>A/C PAYABLE-BANQUE LIBANO CNY CA</v>
          </cell>
          <cell r="C1530">
            <v>0</v>
          </cell>
          <cell r="D1530">
            <v>0</v>
          </cell>
          <cell r="E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</row>
        <row r="1531">
          <cell r="A1531">
            <v>240040210</v>
          </cell>
          <cell r="B1531" t="str">
            <v>A/C PAYABLE UBA CASH COLLATREAL</v>
          </cell>
          <cell r="C1531">
            <v>0</v>
          </cell>
          <cell r="D1531">
            <v>23402358.920000002</v>
          </cell>
          <cell r="E1531">
            <v>23402358.920000002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23402358.920000002</v>
          </cell>
          <cell r="T1531">
            <v>23402358.920000002</v>
          </cell>
        </row>
        <row r="1532">
          <cell r="A1532">
            <v>240040212</v>
          </cell>
          <cell r="B1532" t="str">
            <v>CBN INTERVENTION- HEALTH SECTOR</v>
          </cell>
          <cell r="C1532">
            <v>0</v>
          </cell>
          <cell r="D1532">
            <v>0</v>
          </cell>
          <cell r="E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</row>
        <row r="1533">
          <cell r="A1533">
            <v>240040213</v>
          </cell>
          <cell r="B1533" t="str">
            <v>CBN INTERVENTION - RSSF</v>
          </cell>
          <cell r="C1533">
            <v>0</v>
          </cell>
          <cell r="D1533">
            <v>0</v>
          </cell>
          <cell r="E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</row>
        <row r="1534">
          <cell r="A1534">
            <v>240040215</v>
          </cell>
          <cell r="B1534" t="str">
            <v>A/C PAYABLE-CBN INTERVEN (MEDIA</v>
          </cell>
          <cell r="C1534">
            <v>0</v>
          </cell>
          <cell r="D1534">
            <v>0</v>
          </cell>
          <cell r="E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</row>
        <row r="1535">
          <cell r="A1535">
            <v>240040216</v>
          </cell>
          <cell r="B1535" t="str">
            <v>A/C PAYABLE-CBN INTERN.  ANCHOR</v>
          </cell>
          <cell r="C1535">
            <v>0</v>
          </cell>
          <cell r="D1535">
            <v>0</v>
          </cell>
          <cell r="E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</row>
        <row r="1536">
          <cell r="A1536">
            <v>240040217</v>
          </cell>
          <cell r="B1536" t="str">
            <v>A/CS PAYABLE CLEANLINE FUNDING</v>
          </cell>
          <cell r="C1536">
            <v>0</v>
          </cell>
          <cell r="D1536">
            <v>757111205.63</v>
          </cell>
          <cell r="E1536">
            <v>757111205.63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757111205.63</v>
          </cell>
          <cell r="T1536">
            <v>757111205.63</v>
          </cell>
        </row>
        <row r="1537">
          <cell r="A1537" t="str">
            <v>_x0012_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</row>
        <row r="1538"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</row>
        <row r="1539">
          <cell r="C1539" t="str">
            <v>Polaris Bank Limited, N</v>
          </cell>
          <cell r="D1539" t="str">
            <v>igeria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</row>
        <row r="1540">
          <cell r="C1540" t="str">
            <v>** Consolidated Balance Shee</v>
          </cell>
          <cell r="D1540" t="str">
            <v>t CBN **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</row>
        <row r="1541"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</row>
        <row r="1542">
          <cell r="C1542" t="str">
            <v>As on :     31-OCT-2025</v>
          </cell>
          <cell r="E1542" t="str">
            <v>Page   :   28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</row>
        <row r="1543"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</row>
        <row r="1544">
          <cell r="A1544" t="str">
            <v>User Id :</v>
          </cell>
          <cell r="B1544" t="str">
            <v>SYSTEM</v>
          </cell>
          <cell r="C1544" t="str">
            <v>Date 1 Time :     01-NOV-2025</v>
          </cell>
          <cell r="D1544">
            <v>0.21625000000000003</v>
          </cell>
          <cell r="E1544" t="str">
            <v>Module :   GL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</row>
        <row r="1545">
          <cell r="A1545" t="str">
            <v>----------</v>
          </cell>
          <cell r="B1545" t="str">
            <v>----------------------------------------</v>
          </cell>
          <cell r="C1545" t="str">
            <v>------------------------------</v>
          </cell>
          <cell r="D1545" t="str">
            <v>------------------------------</v>
          </cell>
          <cell r="E1545" t="str">
            <v>----------------------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</row>
        <row r="1546">
          <cell r="A1546" t="str">
            <v>GL Code</v>
          </cell>
          <cell r="B1546" t="str">
            <v>Description</v>
          </cell>
          <cell r="C1546" t="str">
            <v>LCY Amount</v>
          </cell>
          <cell r="D1546" t="str">
            <v>FCY Amount (Lcy Eq)</v>
          </cell>
          <cell r="E1546" t="str">
            <v>Total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</row>
        <row r="1547"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</row>
        <row r="1548">
          <cell r="A1548" t="str">
            <v>----------</v>
          </cell>
          <cell r="B1548" t="str">
            <v>----------------------------------------</v>
          </cell>
          <cell r="C1548" t="str">
            <v>------------------------------</v>
          </cell>
          <cell r="D1548" t="str">
            <v>------------------------------</v>
          </cell>
          <cell r="E1548" t="str">
            <v>----------------------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</row>
        <row r="1549">
          <cell r="A1549" t="str">
            <v>Liability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</row>
        <row r="1550"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</row>
        <row r="1551">
          <cell r="A1551">
            <v>240041000</v>
          </cell>
          <cell r="B1551" t="str">
            <v>SALES AND PURCHASE FX FOR DOM UK</v>
          </cell>
          <cell r="C1551">
            <v>0</v>
          </cell>
          <cell r="D1551">
            <v>-65039455</v>
          </cell>
          <cell r="E1551">
            <v>-65039455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65039455</v>
          </cell>
          <cell r="T1551">
            <v>65039455</v>
          </cell>
        </row>
        <row r="1552">
          <cell r="A1552">
            <v>240041001</v>
          </cell>
          <cell r="B1552" t="str">
            <v>SALES AND PURCHASE FX FOR TRADIN</v>
          </cell>
          <cell r="C1552">
            <v>-1681233.4</v>
          </cell>
          <cell r="D1552">
            <v>120319034.02</v>
          </cell>
          <cell r="E1552">
            <v>118637800.62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118637800.62</v>
          </cell>
          <cell r="T1552">
            <v>118637800.62</v>
          </cell>
        </row>
        <row r="1553">
          <cell r="A1553">
            <v>240041002</v>
          </cell>
          <cell r="B1553" t="str">
            <v>A/C PAYABLE - CBN 40% PORTION CA</v>
          </cell>
          <cell r="C1553">
            <v>9140000</v>
          </cell>
          <cell r="D1553">
            <v>0</v>
          </cell>
          <cell r="E1553">
            <v>9140000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9140000</v>
          </cell>
          <cell r="T1553">
            <v>9140000</v>
          </cell>
        </row>
        <row r="1554">
          <cell r="A1554">
            <v>240050001</v>
          </cell>
          <cell r="B1554" t="str">
            <v>TRANSIT BANK CERTIFIED CHEQUES</v>
          </cell>
          <cell r="C1554">
            <v>0</v>
          </cell>
          <cell r="D1554">
            <v>0</v>
          </cell>
          <cell r="E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</row>
        <row r="1555">
          <cell r="A1555">
            <v>240050002</v>
          </cell>
          <cell r="B1555" t="str">
            <v>TRANSIT BANK DRAFTS</v>
          </cell>
          <cell r="C1555">
            <v>996597.58</v>
          </cell>
          <cell r="D1555">
            <v>0</v>
          </cell>
          <cell r="E1555">
            <v>996597.58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996597.58</v>
          </cell>
          <cell r="T1555">
            <v>996597.58</v>
          </cell>
        </row>
        <row r="1556">
          <cell r="A1556">
            <v>240050003</v>
          </cell>
          <cell r="B1556" t="str">
            <v>TRANSIT STALE CHEQUES</v>
          </cell>
          <cell r="C1556">
            <v>6267558.0800000001</v>
          </cell>
          <cell r="D1556">
            <v>0</v>
          </cell>
          <cell r="E1556">
            <v>6267558.0800000001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6267558.0800000001</v>
          </cell>
          <cell r="T1556">
            <v>6267558.0800000001</v>
          </cell>
        </row>
        <row r="1557">
          <cell r="A1557">
            <v>240050004</v>
          </cell>
          <cell r="B1557" t="str">
            <v>BANKERS CHEQUE CONVERSION GL</v>
          </cell>
          <cell r="C1557">
            <v>0</v>
          </cell>
          <cell r="D1557">
            <v>0</v>
          </cell>
          <cell r="E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</row>
        <row r="1558">
          <cell r="A1558">
            <v>240050005</v>
          </cell>
          <cell r="B1558" t="str">
            <v>UN-CLEARED BALANCE CONVERSION GL</v>
          </cell>
          <cell r="C1558">
            <v>0</v>
          </cell>
          <cell r="D1558">
            <v>0</v>
          </cell>
          <cell r="E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</row>
        <row r="1559">
          <cell r="A1559">
            <v>240050006</v>
          </cell>
          <cell r="B1559" t="str">
            <v>MBL - BANKERS CHEQUE CONVERSION</v>
          </cell>
          <cell r="C1559">
            <v>0</v>
          </cell>
          <cell r="D1559">
            <v>0</v>
          </cell>
          <cell r="E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</row>
        <row r="1560">
          <cell r="A1560">
            <v>240060001</v>
          </cell>
          <cell r="B1560" t="str">
            <v>LOCAL AUTHORITY RATES PAYABLE</v>
          </cell>
          <cell r="C1560">
            <v>228150</v>
          </cell>
          <cell r="D1560">
            <v>0</v>
          </cell>
          <cell r="E1560">
            <v>228150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228150</v>
          </cell>
          <cell r="T1560">
            <v>228150</v>
          </cell>
        </row>
        <row r="1561">
          <cell r="A1561">
            <v>240060002</v>
          </cell>
          <cell r="B1561" t="str">
            <v>NHF PAYABLE</v>
          </cell>
          <cell r="C1561">
            <v>23544269.120000001</v>
          </cell>
          <cell r="D1561">
            <v>0</v>
          </cell>
          <cell r="E1561">
            <v>23544269.120000001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23544269.120000001</v>
          </cell>
          <cell r="T1561">
            <v>23544269.120000001</v>
          </cell>
        </row>
        <row r="1562">
          <cell r="A1562">
            <v>240060003</v>
          </cell>
          <cell r="B1562" t="str">
            <v>SOCIAL SERVICE LEVY</v>
          </cell>
          <cell r="C1562">
            <v>571000</v>
          </cell>
          <cell r="D1562">
            <v>0</v>
          </cell>
          <cell r="E1562">
            <v>571000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571000</v>
          </cell>
          <cell r="T1562">
            <v>571000</v>
          </cell>
        </row>
        <row r="1563">
          <cell r="A1563">
            <v>240060004</v>
          </cell>
          <cell r="B1563" t="str">
            <v>CONTRACT RETENTION FEES PAYABLE</v>
          </cell>
          <cell r="C1563">
            <v>0</v>
          </cell>
          <cell r="D1563">
            <v>0</v>
          </cell>
          <cell r="E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</row>
        <row r="1564">
          <cell r="A1564">
            <v>240060005</v>
          </cell>
          <cell r="B1564" t="str">
            <v>P.A.Y.E. PAYABLE</v>
          </cell>
          <cell r="C1564">
            <v>481409109.17000002</v>
          </cell>
          <cell r="D1564">
            <v>0</v>
          </cell>
          <cell r="E1564">
            <v>481409109.17000002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481409109.17000002</v>
          </cell>
          <cell r="T1564">
            <v>481409109.17000002</v>
          </cell>
        </row>
        <row r="1565">
          <cell r="A1565">
            <v>240060006</v>
          </cell>
          <cell r="B1565" t="str">
            <v>STAFF PENSION PAYABLE (EMPLY)</v>
          </cell>
          <cell r="C1565">
            <v>245069041.99000001</v>
          </cell>
          <cell r="D1565">
            <v>0</v>
          </cell>
          <cell r="E1565">
            <v>245069041.99000001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245069041.99000001</v>
          </cell>
          <cell r="T1565">
            <v>245069041.99000001</v>
          </cell>
        </row>
        <row r="1566">
          <cell r="A1566">
            <v>240060007</v>
          </cell>
          <cell r="B1566" t="str">
            <v>IN-HOUSE CHEQUE POSTING A/C</v>
          </cell>
          <cell r="C1566">
            <v>0</v>
          </cell>
          <cell r="D1566">
            <v>0</v>
          </cell>
          <cell r="E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</row>
        <row r="1567">
          <cell r="A1567">
            <v>240060008</v>
          </cell>
          <cell r="B1567" t="str">
            <v>LONG TERM DEBT (TIER 2) GL</v>
          </cell>
          <cell r="C1567">
            <v>0</v>
          </cell>
          <cell r="D1567">
            <v>0</v>
          </cell>
          <cell r="E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</row>
        <row r="1568">
          <cell r="A1568">
            <v>240060009</v>
          </cell>
          <cell r="B1568" t="str">
            <v>SUNDRY ITEMS PAYABLE</v>
          </cell>
          <cell r="C1568">
            <v>611728912.39999998</v>
          </cell>
          <cell r="D1568">
            <v>0</v>
          </cell>
          <cell r="E1568">
            <v>611728912.39999998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611728912.39999998</v>
          </cell>
          <cell r="T1568">
            <v>611728912.39999998</v>
          </cell>
        </row>
        <row r="1569">
          <cell r="A1569">
            <v>240060010</v>
          </cell>
          <cell r="B1569" t="str">
            <v>OTHER PAYABLES</v>
          </cell>
          <cell r="C1569">
            <v>476896101.60000002</v>
          </cell>
          <cell r="D1569">
            <v>14262000</v>
          </cell>
          <cell r="E1569">
            <v>491158101.60000002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491158101.60000002</v>
          </cell>
          <cell r="T1569">
            <v>491158101.60000002</v>
          </cell>
        </row>
        <row r="1570">
          <cell r="A1570">
            <v>240060011</v>
          </cell>
          <cell r="B1570" t="str">
            <v>CLOSED A/CS WITH CREDIT BALANCES</v>
          </cell>
          <cell r="C1570">
            <v>27022572.300000001</v>
          </cell>
          <cell r="D1570">
            <v>29886541.559999999</v>
          </cell>
          <cell r="E1570">
            <v>56909113.859999999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56909113.859999999</v>
          </cell>
          <cell r="T1570">
            <v>56909113.859999999</v>
          </cell>
        </row>
        <row r="1571">
          <cell r="A1571">
            <v>240060012</v>
          </cell>
          <cell r="B1571" t="str">
            <v>SEARCH FEE POSTING A/C</v>
          </cell>
          <cell r="C1571">
            <v>408032.5</v>
          </cell>
          <cell r="D1571">
            <v>0</v>
          </cell>
          <cell r="E1571">
            <v>408032.5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408032.5</v>
          </cell>
          <cell r="T1571">
            <v>408032.5</v>
          </cell>
        </row>
        <row r="1572">
          <cell r="A1572">
            <v>240060013</v>
          </cell>
          <cell r="B1572" t="str">
            <v>LEGAL FEES PAYABLE</v>
          </cell>
          <cell r="C1572">
            <v>665173.5</v>
          </cell>
          <cell r="D1572">
            <v>0</v>
          </cell>
          <cell r="E1572">
            <v>665173.5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665173.5</v>
          </cell>
          <cell r="T1572">
            <v>665173.5</v>
          </cell>
        </row>
        <row r="1573">
          <cell r="A1573">
            <v>240060014</v>
          </cell>
          <cell r="B1573" t="str">
            <v>OTHER STATUTORY FEES PAYABLE</v>
          </cell>
          <cell r="C1573">
            <v>384849632.06</v>
          </cell>
          <cell r="D1573">
            <v>0</v>
          </cell>
          <cell r="E1573">
            <v>384849632.06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384849632.06</v>
          </cell>
          <cell r="T1573">
            <v>384849632.06</v>
          </cell>
        </row>
        <row r="1574">
          <cell r="A1574">
            <v>240060015</v>
          </cell>
          <cell r="B1574" t="str">
            <v>OBB TAKINGS</v>
          </cell>
          <cell r="C1574">
            <v>6500000000</v>
          </cell>
          <cell r="D1574">
            <v>0</v>
          </cell>
          <cell r="E1574">
            <v>6500000000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6500000000</v>
          </cell>
          <cell r="T1574">
            <v>6500000000</v>
          </cell>
        </row>
        <row r="1575">
          <cell r="A1575">
            <v>240060017</v>
          </cell>
          <cell r="B1575" t="str">
            <v>SIP-OTHER RESERVES</v>
          </cell>
          <cell r="C1575">
            <v>1115782.82</v>
          </cell>
          <cell r="D1575">
            <v>0</v>
          </cell>
          <cell r="E1575">
            <v>1115782.82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1115782.82</v>
          </cell>
          <cell r="T1575">
            <v>1115782.82</v>
          </cell>
        </row>
        <row r="1576">
          <cell r="A1576">
            <v>240060018</v>
          </cell>
          <cell r="B1576" t="str">
            <v>ATM-INTERSWITCH PAYABLE</v>
          </cell>
          <cell r="C1576">
            <v>0</v>
          </cell>
          <cell r="D1576">
            <v>0</v>
          </cell>
          <cell r="E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</row>
        <row r="1577">
          <cell r="A1577">
            <v>240060019</v>
          </cell>
          <cell r="B1577" t="str">
            <v>ATM-INTERSWITCH PAYABLE FEE</v>
          </cell>
          <cell r="C1577">
            <v>8000</v>
          </cell>
          <cell r="D1577">
            <v>0</v>
          </cell>
          <cell r="E1577">
            <v>8000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8000</v>
          </cell>
          <cell r="T1577">
            <v>8000</v>
          </cell>
        </row>
        <row r="1578">
          <cell r="A1578">
            <v>240060020</v>
          </cell>
          <cell r="B1578" t="str">
            <v>PROVISION FOR LEGACY BANK BALANC</v>
          </cell>
          <cell r="C1578">
            <v>653580674.08000004</v>
          </cell>
          <cell r="D1578">
            <v>2336090.04</v>
          </cell>
          <cell r="E1578">
            <v>655916764.12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655916764.12</v>
          </cell>
          <cell r="T1578">
            <v>655916764.12</v>
          </cell>
        </row>
        <row r="1579">
          <cell r="A1579">
            <v>240060021</v>
          </cell>
          <cell r="B1579" t="str">
            <v>UNION  DUES  PAYABLE</v>
          </cell>
          <cell r="C1579">
            <v>1200</v>
          </cell>
          <cell r="D1579">
            <v>0</v>
          </cell>
          <cell r="E1579">
            <v>1200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1200</v>
          </cell>
          <cell r="T1579">
            <v>1200</v>
          </cell>
        </row>
        <row r="1580">
          <cell r="A1580">
            <v>240060022</v>
          </cell>
          <cell r="B1580" t="str">
            <v>PAPSS FEE PAYABLE</v>
          </cell>
          <cell r="C1580">
            <v>89900.86</v>
          </cell>
          <cell r="D1580">
            <v>0</v>
          </cell>
          <cell r="E1580">
            <v>89900.86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89900.86</v>
          </cell>
          <cell r="T1580">
            <v>89900.86</v>
          </cell>
        </row>
        <row r="1581">
          <cell r="A1581">
            <v>240060023</v>
          </cell>
          <cell r="B1581" t="str">
            <v>BANK CHEQUE POSTING ACCOUNT</v>
          </cell>
          <cell r="C1581">
            <v>2518147.09</v>
          </cell>
          <cell r="D1581">
            <v>0</v>
          </cell>
          <cell r="E1581">
            <v>2518147.09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2518147.09</v>
          </cell>
          <cell r="T1581">
            <v>2518147.09</v>
          </cell>
        </row>
        <row r="1582">
          <cell r="A1582">
            <v>240060024</v>
          </cell>
          <cell r="B1582" t="str">
            <v>MONEYGRAM SETTLEMENT ACCOUNT</v>
          </cell>
          <cell r="C1582">
            <v>0</v>
          </cell>
          <cell r="D1582">
            <v>0</v>
          </cell>
          <cell r="E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</row>
        <row r="1583">
          <cell r="A1583">
            <v>240060025</v>
          </cell>
          <cell r="B1583" t="str">
            <v>ATM ACQUIRER CASH GL</v>
          </cell>
          <cell r="C1583">
            <v>0</v>
          </cell>
          <cell r="D1583">
            <v>0</v>
          </cell>
          <cell r="E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</row>
        <row r="1584">
          <cell r="A1584">
            <v>240060026</v>
          </cell>
          <cell r="B1584" t="str">
            <v>ATM ACQUIRER FEE GL</v>
          </cell>
          <cell r="C1584">
            <v>7190747.8700000001</v>
          </cell>
          <cell r="D1584">
            <v>0</v>
          </cell>
          <cell r="E1584">
            <v>7190747.8700000001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7190747.8700000001</v>
          </cell>
          <cell r="T1584">
            <v>7190747.8700000001</v>
          </cell>
        </row>
        <row r="1585">
          <cell r="A1585">
            <v>240060027</v>
          </cell>
          <cell r="B1585" t="str">
            <v>POS ACQUIRER CASH GL</v>
          </cell>
          <cell r="C1585">
            <v>0</v>
          </cell>
          <cell r="D1585">
            <v>0</v>
          </cell>
          <cell r="E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</row>
        <row r="1586">
          <cell r="A1586">
            <v>240060028</v>
          </cell>
          <cell r="B1586" t="str">
            <v>POS ACQUIRER FEE GL</v>
          </cell>
          <cell r="C1586">
            <v>100</v>
          </cell>
          <cell r="D1586">
            <v>0</v>
          </cell>
          <cell r="E1586">
            <v>100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100</v>
          </cell>
          <cell r="T1586">
            <v>100</v>
          </cell>
        </row>
        <row r="1587">
          <cell r="A1587">
            <v>240060029</v>
          </cell>
          <cell r="B1587" t="str">
            <v>POS FORWARDER FEE GL</v>
          </cell>
          <cell r="C1587">
            <v>0</v>
          </cell>
          <cell r="D1587">
            <v>0</v>
          </cell>
          <cell r="E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</row>
        <row r="1588">
          <cell r="A1588">
            <v>240060030</v>
          </cell>
          <cell r="B1588" t="str">
            <v>ISO FEE PAYABLE GL</v>
          </cell>
          <cell r="C1588">
            <v>3253011.87</v>
          </cell>
          <cell r="D1588">
            <v>286908.65000000002</v>
          </cell>
          <cell r="E1588">
            <v>3539920.52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3539920.52</v>
          </cell>
          <cell r="T1588">
            <v>3539920.52</v>
          </cell>
        </row>
        <row r="1589">
          <cell r="A1589">
            <v>240060031</v>
          </cell>
          <cell r="B1589" t="str">
            <v>NEFT PAYABLE GL</v>
          </cell>
          <cell r="C1589">
            <v>1104573432.5999999</v>
          </cell>
          <cell r="D1589">
            <v>0</v>
          </cell>
          <cell r="E1589">
            <v>1104573432.5999999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1104573432.5999999</v>
          </cell>
          <cell r="T1589">
            <v>1104573432.5999999</v>
          </cell>
        </row>
        <row r="1590">
          <cell r="A1590">
            <v>240060032</v>
          </cell>
          <cell r="B1590" t="str">
            <v>CASH CARD COLLECT.SETTLMENT A/C</v>
          </cell>
          <cell r="C1590">
            <v>927027007.38</v>
          </cell>
          <cell r="D1590">
            <v>0</v>
          </cell>
          <cell r="E1590">
            <v>927027007.38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927027007.38</v>
          </cell>
          <cell r="T1590">
            <v>927027007.38</v>
          </cell>
        </row>
        <row r="1591">
          <cell r="A1591">
            <v>240060033</v>
          </cell>
          <cell r="B1591" t="str">
            <v>FX REVALUATION A/C   USD</v>
          </cell>
          <cell r="C1591">
            <v>734207.98</v>
          </cell>
          <cell r="D1591">
            <v>0</v>
          </cell>
          <cell r="E1591">
            <v>734207.98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734207.98</v>
          </cell>
          <cell r="T1591">
            <v>734207.98</v>
          </cell>
        </row>
        <row r="1592">
          <cell r="A1592">
            <v>240060034</v>
          </cell>
          <cell r="B1592" t="str">
            <v>FX REVALUATION A/C   GBP</v>
          </cell>
          <cell r="C1592">
            <v>0</v>
          </cell>
          <cell r="D1592">
            <v>7410.98</v>
          </cell>
          <cell r="E1592">
            <v>7410.98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7410.98</v>
          </cell>
          <cell r="T1592">
            <v>7410.98</v>
          </cell>
        </row>
        <row r="1593">
          <cell r="A1593">
            <v>240060035</v>
          </cell>
          <cell r="B1593" t="str">
            <v>DEPOSIT FOR SHARES</v>
          </cell>
          <cell r="C1593">
            <v>0</v>
          </cell>
          <cell r="D1593">
            <v>0</v>
          </cell>
          <cell r="E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</row>
        <row r="1594">
          <cell r="A1594">
            <v>240060036</v>
          </cell>
          <cell r="B1594" t="str">
            <v>PROFIT &amp; LOSS (CURRENT YEAR)</v>
          </cell>
          <cell r="C1594">
            <v>0</v>
          </cell>
          <cell r="D1594">
            <v>0</v>
          </cell>
          <cell r="E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</row>
        <row r="1595">
          <cell r="A1595" t="str">
            <v>_x0012_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</row>
        <row r="1596"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</row>
        <row r="1597">
          <cell r="C1597" t="str">
            <v>Polaris Bank Limited, N</v>
          </cell>
          <cell r="D1597" t="str">
            <v>igeria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</row>
        <row r="1598">
          <cell r="C1598" t="str">
            <v>** Consolidated Balance Shee</v>
          </cell>
          <cell r="D1598" t="str">
            <v>t CBN **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</row>
        <row r="1599"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</row>
        <row r="1600">
          <cell r="C1600" t="str">
            <v>As on :     31-OCT-2025</v>
          </cell>
          <cell r="E1600" t="str">
            <v>Page   :   29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</row>
        <row r="1601"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</row>
        <row r="1602">
          <cell r="A1602" t="str">
            <v>User Id :</v>
          </cell>
          <cell r="B1602" t="str">
            <v>SYSTEM</v>
          </cell>
          <cell r="C1602" t="str">
            <v>Date 1 Time :     01-NOV-2025</v>
          </cell>
          <cell r="D1602">
            <v>0.21625000000000003</v>
          </cell>
          <cell r="E1602" t="str">
            <v>Module :   GL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</row>
        <row r="1603">
          <cell r="A1603" t="str">
            <v>----------</v>
          </cell>
          <cell r="B1603" t="str">
            <v>----------------------------------------</v>
          </cell>
          <cell r="C1603" t="str">
            <v>------------------------------</v>
          </cell>
          <cell r="D1603" t="str">
            <v>------------------------------</v>
          </cell>
          <cell r="E1603" t="str">
            <v>----------------------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</row>
        <row r="1604">
          <cell r="A1604" t="str">
            <v>GL Code</v>
          </cell>
          <cell r="B1604" t="str">
            <v>Description</v>
          </cell>
          <cell r="C1604" t="str">
            <v>LCY Amount</v>
          </cell>
          <cell r="D1604" t="str">
            <v>FCY Amount (Lcy Eq)</v>
          </cell>
          <cell r="E1604" t="str">
            <v>Total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</row>
        <row r="1605"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</row>
        <row r="1606">
          <cell r="A1606" t="str">
            <v>----------</v>
          </cell>
          <cell r="B1606" t="str">
            <v>----------------------------------------</v>
          </cell>
          <cell r="C1606" t="str">
            <v>------------------------------</v>
          </cell>
          <cell r="D1606" t="str">
            <v>------------------------------</v>
          </cell>
          <cell r="E1606" t="str">
            <v>----------------------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</row>
        <row r="1607">
          <cell r="A1607" t="str">
            <v>Liability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</row>
        <row r="1608"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</row>
        <row r="1609">
          <cell r="A1609">
            <v>240060037</v>
          </cell>
          <cell r="B1609" t="str">
            <v>REMITA CASH CARD SETTLMENT A/C</v>
          </cell>
          <cell r="C1609">
            <v>0</v>
          </cell>
          <cell r="D1609">
            <v>0</v>
          </cell>
          <cell r="E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</row>
        <row r="1610">
          <cell r="A1610">
            <v>240060038</v>
          </cell>
          <cell r="B1610" t="str">
            <v>REMITA ACQUIRER CASH A/C</v>
          </cell>
          <cell r="C1610">
            <v>25000</v>
          </cell>
          <cell r="D1610">
            <v>0</v>
          </cell>
          <cell r="E1610">
            <v>25000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25000</v>
          </cell>
          <cell r="T1610">
            <v>25000</v>
          </cell>
        </row>
        <row r="1611">
          <cell r="A1611">
            <v>240060039</v>
          </cell>
          <cell r="B1611" t="str">
            <v>E-TRANSACT ACQUIRER CASH A/C</v>
          </cell>
          <cell r="C1611">
            <v>107646.5</v>
          </cell>
          <cell r="D1611">
            <v>0</v>
          </cell>
          <cell r="E1611">
            <v>107646.5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107646.5</v>
          </cell>
          <cell r="T1611">
            <v>107646.5</v>
          </cell>
        </row>
        <row r="1612">
          <cell r="A1612">
            <v>240060040</v>
          </cell>
          <cell r="B1612" t="str">
            <v>INTERSWITCH ACQUIRER CASH A/C</v>
          </cell>
          <cell r="C1612">
            <v>-144312843.12</v>
          </cell>
          <cell r="D1612">
            <v>0</v>
          </cell>
          <cell r="E1612">
            <v>-144312843.12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144312843.12</v>
          </cell>
          <cell r="T1612">
            <v>144312843.12</v>
          </cell>
        </row>
        <row r="1613">
          <cell r="A1613">
            <v>240060041</v>
          </cell>
          <cell r="B1613" t="str">
            <v>INTERSWITCH ACQUIRER FEE A/C</v>
          </cell>
          <cell r="C1613">
            <v>-89570034.25</v>
          </cell>
          <cell r="D1613">
            <v>13242645.609999999</v>
          </cell>
          <cell r="E1613">
            <v>-76327388.640000001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76327388.640000001</v>
          </cell>
          <cell r="T1613">
            <v>76327388.640000001</v>
          </cell>
        </row>
        <row r="1614">
          <cell r="A1614">
            <v>240060042</v>
          </cell>
          <cell r="B1614" t="str">
            <v>VISA ACQUIRER CASH A/C</v>
          </cell>
          <cell r="C1614">
            <v>-98103.75</v>
          </cell>
          <cell r="D1614">
            <v>24689732.609999999</v>
          </cell>
          <cell r="E1614">
            <v>24591628.859999999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24591628.859999999</v>
          </cell>
          <cell r="T1614">
            <v>24591628.859999999</v>
          </cell>
        </row>
        <row r="1615">
          <cell r="A1615">
            <v>240060043</v>
          </cell>
          <cell r="B1615" t="str">
            <v>VISA ACQUIRER FEE A/C</v>
          </cell>
          <cell r="C1615">
            <v>6392775.8300000001</v>
          </cell>
          <cell r="D1615">
            <v>13452859.699999999</v>
          </cell>
          <cell r="E1615">
            <v>19845635.530000001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19845635.530000001</v>
          </cell>
          <cell r="T1615">
            <v>19845635.530000001</v>
          </cell>
        </row>
        <row r="1616">
          <cell r="A1616">
            <v>240060044</v>
          </cell>
          <cell r="B1616" t="str">
            <v>POLARIS PAY ACQUIRER CASH A/C</v>
          </cell>
          <cell r="C1616">
            <v>115982</v>
          </cell>
          <cell r="D1616">
            <v>0</v>
          </cell>
          <cell r="E1616">
            <v>115982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115982</v>
          </cell>
          <cell r="T1616">
            <v>115982</v>
          </cell>
        </row>
        <row r="1617">
          <cell r="A1617">
            <v>240060045</v>
          </cell>
          <cell r="B1617" t="str">
            <v>UNIFIED ACQUIRER CASH A/C</v>
          </cell>
          <cell r="C1617">
            <v>1379510.53</v>
          </cell>
          <cell r="D1617">
            <v>0</v>
          </cell>
          <cell r="E1617">
            <v>1379510.53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1379510.53</v>
          </cell>
          <cell r="T1617">
            <v>1379510.53</v>
          </cell>
        </row>
        <row r="1618">
          <cell r="A1618">
            <v>240060046</v>
          </cell>
          <cell r="B1618" t="str">
            <v>NIBSS Instant  Pay TSS Account</v>
          </cell>
          <cell r="C1618">
            <v>59804719315.43</v>
          </cell>
          <cell r="D1618">
            <v>0</v>
          </cell>
          <cell r="E1618">
            <v>59804719315.43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59804719315.43</v>
          </cell>
          <cell r="T1618">
            <v>59804719315.43</v>
          </cell>
        </row>
        <row r="1619">
          <cell r="A1619">
            <v>240060047</v>
          </cell>
          <cell r="B1619" t="str">
            <v>Nibss instant Pay Fee Charges</v>
          </cell>
          <cell r="C1619">
            <v>1161931.76</v>
          </cell>
          <cell r="D1619">
            <v>0</v>
          </cell>
          <cell r="E1619">
            <v>1161931.76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1161931.76</v>
          </cell>
          <cell r="T1619">
            <v>1161931.76</v>
          </cell>
        </row>
        <row r="1620">
          <cell r="A1620">
            <v>240060048</v>
          </cell>
          <cell r="B1620" t="str">
            <v>NAPS SETTLEMENT ACCOUNT</v>
          </cell>
          <cell r="C1620">
            <v>0</v>
          </cell>
          <cell r="D1620">
            <v>0</v>
          </cell>
          <cell r="E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</row>
        <row r="1621">
          <cell r="A1621">
            <v>240060049</v>
          </cell>
          <cell r="B1621" t="str">
            <v>CREDIT SEARCH ACCOUNT</v>
          </cell>
          <cell r="C1621">
            <v>43191279.829999998</v>
          </cell>
          <cell r="D1621">
            <v>0</v>
          </cell>
          <cell r="E1621">
            <v>43191279.829999998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43191279.829999998</v>
          </cell>
          <cell r="T1621">
            <v>43191279.829999998</v>
          </cell>
        </row>
        <row r="1622">
          <cell r="A1622">
            <v>240060050</v>
          </cell>
          <cell r="B1622" t="str">
            <v>UNEARNED VALUE ADDED TAX</v>
          </cell>
          <cell r="C1622">
            <v>10106192.029999999</v>
          </cell>
          <cell r="D1622">
            <v>20639915.449999999</v>
          </cell>
          <cell r="E1622">
            <v>30746107.48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30746107.48</v>
          </cell>
          <cell r="T1622">
            <v>30746107.48</v>
          </cell>
        </row>
        <row r="1623">
          <cell r="A1623">
            <v>240060051</v>
          </cell>
          <cell r="B1623" t="str">
            <v>REMOTE ON-US ATM - VERVE</v>
          </cell>
          <cell r="C1623">
            <v>76957980</v>
          </cell>
          <cell r="D1623">
            <v>0</v>
          </cell>
          <cell r="E1623">
            <v>76957980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76957980</v>
          </cell>
          <cell r="T1623">
            <v>76957980</v>
          </cell>
        </row>
        <row r="1624">
          <cell r="A1624">
            <v>240060052</v>
          </cell>
          <cell r="B1624" t="str">
            <v>LOCAL REMOTE ON-US ATM - MASTERC</v>
          </cell>
          <cell r="C1624">
            <v>0</v>
          </cell>
          <cell r="D1624">
            <v>0</v>
          </cell>
          <cell r="E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</row>
        <row r="1625">
          <cell r="A1625">
            <v>240060053</v>
          </cell>
          <cell r="B1625" t="str">
            <v>INTL REMOTE ON-US ATM - MASTERCA</v>
          </cell>
          <cell r="C1625">
            <v>0</v>
          </cell>
          <cell r="D1625">
            <v>0</v>
          </cell>
          <cell r="E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</row>
        <row r="1626">
          <cell r="A1626">
            <v>240060054</v>
          </cell>
          <cell r="B1626" t="str">
            <v>REMOTE ON-US POS - VERVE</v>
          </cell>
          <cell r="C1626">
            <v>15721962166.83</v>
          </cell>
          <cell r="D1626">
            <v>0</v>
          </cell>
          <cell r="E1626">
            <v>15721962166.83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15721962166.83</v>
          </cell>
          <cell r="T1626">
            <v>15721962166.83</v>
          </cell>
        </row>
        <row r="1627">
          <cell r="A1627">
            <v>240060055</v>
          </cell>
          <cell r="B1627" t="str">
            <v>MASTERCARD LOCAL POS AND WEB REM</v>
          </cell>
          <cell r="C1627">
            <v>-41219887.189999998</v>
          </cell>
          <cell r="D1627">
            <v>0</v>
          </cell>
          <cell r="E1627">
            <v>-41219887.189999998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41219887.189999998</v>
          </cell>
          <cell r="T1627">
            <v>41219887.189999998</v>
          </cell>
        </row>
        <row r="1628">
          <cell r="A1628">
            <v>240060056</v>
          </cell>
          <cell r="B1628" t="str">
            <v>MASTERCARD INTL POS AND WEB REMO</v>
          </cell>
          <cell r="C1628">
            <v>0</v>
          </cell>
          <cell r="D1628">
            <v>0</v>
          </cell>
          <cell r="E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</row>
        <row r="1629">
          <cell r="A1629">
            <v>240060057</v>
          </cell>
          <cell r="B1629" t="str">
            <v>REMOTE ON-US WEB - VERVE</v>
          </cell>
          <cell r="C1629">
            <v>35453766.57</v>
          </cell>
          <cell r="D1629">
            <v>0</v>
          </cell>
          <cell r="E1629">
            <v>35453766.57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35453766.57</v>
          </cell>
          <cell r="T1629">
            <v>35453766.57</v>
          </cell>
        </row>
        <row r="1630">
          <cell r="A1630">
            <v>240060058</v>
          </cell>
          <cell r="B1630" t="str">
            <v>LOCAL REMOTE ON-US WEB - MASTERC</v>
          </cell>
          <cell r="C1630">
            <v>0</v>
          </cell>
          <cell r="D1630">
            <v>0</v>
          </cell>
          <cell r="E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</row>
        <row r="1631">
          <cell r="A1631">
            <v>240060059</v>
          </cell>
          <cell r="B1631" t="str">
            <v>INTL REMOTE ON-US WEB - MASTERCA</v>
          </cell>
          <cell r="C1631">
            <v>0</v>
          </cell>
          <cell r="D1631">
            <v>0</v>
          </cell>
          <cell r="E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</row>
        <row r="1632">
          <cell r="A1632">
            <v>240060060</v>
          </cell>
          <cell r="B1632" t="str">
            <v>LOCAL REMOTE ON-US ATM -VISA CAR</v>
          </cell>
          <cell r="C1632">
            <v>435564489.13</v>
          </cell>
          <cell r="D1632">
            <v>727119.55</v>
          </cell>
          <cell r="E1632">
            <v>436291608.68000001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436291608.68000001</v>
          </cell>
          <cell r="T1632">
            <v>436291608.68000001</v>
          </cell>
        </row>
        <row r="1633">
          <cell r="A1633">
            <v>240060061</v>
          </cell>
          <cell r="B1633" t="str">
            <v>INTL REMOTE ON-US ATM - VISA CAR</v>
          </cell>
          <cell r="C1633">
            <v>0</v>
          </cell>
          <cell r="D1633">
            <v>31657275.859999999</v>
          </cell>
          <cell r="E1633">
            <v>31657275.859999999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31657275.859999999</v>
          </cell>
          <cell r="T1633">
            <v>31657275.859999999</v>
          </cell>
        </row>
        <row r="1634">
          <cell r="A1634">
            <v>240060062</v>
          </cell>
          <cell r="B1634" t="str">
            <v>LOCAL REMOTE ON-US POS -VISA CAR</v>
          </cell>
          <cell r="C1634">
            <v>4247469174.1199999</v>
          </cell>
          <cell r="D1634">
            <v>3314003.89</v>
          </cell>
          <cell r="E1634">
            <v>4250783178.0100002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4250783178.0100002</v>
          </cell>
          <cell r="T1634">
            <v>4250783178.0100002</v>
          </cell>
        </row>
        <row r="1635">
          <cell r="A1635">
            <v>240060063</v>
          </cell>
          <cell r="B1635" t="str">
            <v>INTL REMOTE ON-US POS -VISA CARD</v>
          </cell>
          <cell r="C1635">
            <v>16013095.380000001</v>
          </cell>
          <cell r="D1635">
            <v>272462488.81</v>
          </cell>
          <cell r="E1635">
            <v>288475584.19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288475584.19</v>
          </cell>
          <cell r="T1635">
            <v>288475584.19</v>
          </cell>
        </row>
        <row r="1636">
          <cell r="A1636">
            <v>240060064</v>
          </cell>
          <cell r="B1636" t="str">
            <v>AIRTIME RECHARGE - MASTERCARD</v>
          </cell>
          <cell r="C1636">
            <v>0</v>
          </cell>
          <cell r="D1636">
            <v>0</v>
          </cell>
          <cell r="E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</row>
        <row r="1637">
          <cell r="A1637">
            <v>240060065</v>
          </cell>
          <cell r="B1637" t="str">
            <v>AIRTIME RECHARGE - VERVE</v>
          </cell>
          <cell r="C1637">
            <v>2624613.15</v>
          </cell>
          <cell r="D1637">
            <v>0</v>
          </cell>
          <cell r="E1637">
            <v>2624613.15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2624613.15</v>
          </cell>
          <cell r="T1637">
            <v>2624613.15</v>
          </cell>
        </row>
        <row r="1638">
          <cell r="A1638">
            <v>240060066</v>
          </cell>
          <cell r="B1638" t="str">
            <v>STAMP DUTY-VALUE BASED</v>
          </cell>
          <cell r="C1638">
            <v>22177530.510000002</v>
          </cell>
          <cell r="D1638">
            <v>0</v>
          </cell>
          <cell r="E1638">
            <v>22177530.510000002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22177530.510000002</v>
          </cell>
          <cell r="T1638">
            <v>22177530.510000002</v>
          </cell>
        </row>
        <row r="1639">
          <cell r="A1639">
            <v>240060067</v>
          </cell>
          <cell r="B1639" t="str">
            <v>A/C PAYABLE - EMTL LEVY</v>
          </cell>
          <cell r="C1639">
            <v>365569200</v>
          </cell>
          <cell r="D1639">
            <v>82271.48</v>
          </cell>
          <cell r="E1639">
            <v>365651471.48000002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365651471.48000002</v>
          </cell>
          <cell r="T1639">
            <v>365651471.48000002</v>
          </cell>
        </row>
        <row r="1640">
          <cell r="A1640">
            <v>240060068</v>
          </cell>
          <cell r="B1640" t="str">
            <v>ON US POS SETTLEMENT PAYABLE GL</v>
          </cell>
          <cell r="C1640">
            <v>0</v>
          </cell>
          <cell r="D1640">
            <v>0</v>
          </cell>
          <cell r="E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</row>
        <row r="1641">
          <cell r="A1641">
            <v>240060069</v>
          </cell>
          <cell r="B1641" t="str">
            <v>UNIFIED ACQUIRER ATM OFF US</v>
          </cell>
          <cell r="C1641">
            <v>0</v>
          </cell>
          <cell r="D1641">
            <v>0</v>
          </cell>
          <cell r="E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</row>
        <row r="1642">
          <cell r="A1642">
            <v>240060070</v>
          </cell>
          <cell r="B1642" t="str">
            <v>STAMP DUTY ON LOANS AND CREDIT F</v>
          </cell>
          <cell r="C1642">
            <v>2000000</v>
          </cell>
          <cell r="D1642">
            <v>0</v>
          </cell>
          <cell r="E1642">
            <v>2000000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2000000</v>
          </cell>
          <cell r="T1642">
            <v>2000000</v>
          </cell>
        </row>
        <row r="1643">
          <cell r="A1643">
            <v>240060072</v>
          </cell>
          <cell r="B1643" t="str">
            <v>MASTERPASS FEE PAYABLE GL</v>
          </cell>
          <cell r="C1643">
            <v>116.02</v>
          </cell>
          <cell r="D1643">
            <v>0</v>
          </cell>
          <cell r="E1643">
            <v>116.02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116.02</v>
          </cell>
          <cell r="T1643">
            <v>116.02</v>
          </cell>
        </row>
        <row r="1644">
          <cell r="A1644">
            <v>240060073</v>
          </cell>
          <cell r="B1644" t="str">
            <v>DEPOSIT FOR SALE OF OTHER F.A</v>
          </cell>
          <cell r="C1644">
            <v>1148877925.1600001</v>
          </cell>
          <cell r="D1644">
            <v>0</v>
          </cell>
          <cell r="E1644">
            <v>1148877925.1600001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1148877925.1600001</v>
          </cell>
          <cell r="T1644">
            <v>1148877925.1600001</v>
          </cell>
        </row>
        <row r="1645">
          <cell r="A1645">
            <v>240060077</v>
          </cell>
          <cell r="B1645" t="str">
            <v>MTN ON DEMAND PAYABLE</v>
          </cell>
          <cell r="C1645">
            <v>-13991200.789999999</v>
          </cell>
          <cell r="D1645">
            <v>0</v>
          </cell>
          <cell r="E1645">
            <v>-13991200.789999999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13991200.789999999</v>
          </cell>
          <cell r="T1645">
            <v>13991200.789999999</v>
          </cell>
        </row>
        <row r="1646">
          <cell r="A1646">
            <v>240060078</v>
          </cell>
          <cell r="B1646" t="str">
            <v>MASTERCARD ACQUIRER PAYABLE GL</v>
          </cell>
          <cell r="C1646">
            <v>2634.1</v>
          </cell>
          <cell r="D1646">
            <v>0</v>
          </cell>
          <cell r="E1646">
            <v>2634.1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2634.1</v>
          </cell>
          <cell r="T1646">
            <v>2634.1</v>
          </cell>
        </row>
        <row r="1647">
          <cell r="A1647">
            <v>240060079</v>
          </cell>
          <cell r="B1647" t="str">
            <v>VERVE ACQUIRER PAYABLE GL</v>
          </cell>
          <cell r="C1647">
            <v>25003457.100000001</v>
          </cell>
          <cell r="D1647">
            <v>0</v>
          </cell>
          <cell r="E1647">
            <v>25003457.100000001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25003457.100000001</v>
          </cell>
          <cell r="T1647">
            <v>25003457.100000001</v>
          </cell>
        </row>
        <row r="1648">
          <cell r="A1648">
            <v>240060080</v>
          </cell>
          <cell r="B1648" t="str">
            <v>VISA ACQUIRER PAYABLE GL</v>
          </cell>
          <cell r="C1648">
            <v>0</v>
          </cell>
          <cell r="D1648">
            <v>0</v>
          </cell>
          <cell r="E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</row>
        <row r="1649">
          <cell r="A1649">
            <v>240060083</v>
          </cell>
          <cell r="B1649" t="str">
            <v>E-DIVIDEND REGISTRATION CHARGE</v>
          </cell>
          <cell r="C1649">
            <v>2161120.25</v>
          </cell>
          <cell r="D1649">
            <v>0</v>
          </cell>
          <cell r="E1649">
            <v>2161120.25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2161120.25</v>
          </cell>
          <cell r="T1649">
            <v>2161120.25</v>
          </cell>
        </row>
        <row r="1650">
          <cell r="A1650">
            <v>240060084</v>
          </cell>
          <cell r="B1650" t="str">
            <v>UNIFIED TAGLESS ISSUING ON-US GL</v>
          </cell>
          <cell r="C1650">
            <v>0</v>
          </cell>
          <cell r="D1650">
            <v>0</v>
          </cell>
          <cell r="E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</row>
        <row r="1651">
          <cell r="A1651">
            <v>240060085</v>
          </cell>
          <cell r="B1651" t="str">
            <v>UNIFIED TAGLESS REMOTE ON-US GL</v>
          </cell>
          <cell r="C1651">
            <v>0</v>
          </cell>
          <cell r="D1651">
            <v>0</v>
          </cell>
          <cell r="E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</row>
        <row r="1652">
          <cell r="A1652">
            <v>240060087</v>
          </cell>
          <cell r="B1652" t="str">
            <v>CORPORATE TRANSACTIONS UPSTREAM</v>
          </cell>
          <cell r="C1652">
            <v>0</v>
          </cell>
          <cell r="D1652">
            <v>0</v>
          </cell>
          <cell r="E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</row>
        <row r="1653">
          <cell r="A1653" t="str">
            <v>_x0012_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</row>
        <row r="1654"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</row>
        <row r="1655">
          <cell r="C1655" t="str">
            <v>Polaris Bank Limited, N</v>
          </cell>
          <cell r="D1655" t="str">
            <v>igeria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</row>
        <row r="1656">
          <cell r="C1656" t="str">
            <v>** Consolidated Balance Shee</v>
          </cell>
          <cell r="D1656" t="str">
            <v>t CBN **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</row>
        <row r="1657"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</row>
        <row r="1658">
          <cell r="C1658" t="str">
            <v>As on :     31-OCT-2025</v>
          </cell>
          <cell r="E1658" t="str">
            <v>Page   :   30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</row>
        <row r="1659"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</row>
        <row r="1660">
          <cell r="A1660" t="str">
            <v>User Id :</v>
          </cell>
          <cell r="B1660" t="str">
            <v>SYSTEM</v>
          </cell>
          <cell r="C1660" t="str">
            <v>Date 1 Time :     01-NOV-2025</v>
          </cell>
          <cell r="D1660">
            <v>0.21625000000000003</v>
          </cell>
          <cell r="E1660" t="str">
            <v>Module :   GL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</row>
        <row r="1661">
          <cell r="A1661" t="str">
            <v>----------</v>
          </cell>
          <cell r="B1661" t="str">
            <v>----------------------------------------</v>
          </cell>
          <cell r="C1661" t="str">
            <v>------------------------------</v>
          </cell>
          <cell r="D1661" t="str">
            <v>------------------------------</v>
          </cell>
          <cell r="E1661" t="str">
            <v>----------------------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</row>
        <row r="1662">
          <cell r="A1662" t="str">
            <v>GL Code</v>
          </cell>
          <cell r="B1662" t="str">
            <v>Description</v>
          </cell>
          <cell r="C1662" t="str">
            <v>LCY Amount</v>
          </cell>
          <cell r="D1662" t="str">
            <v>FCY Amount (Lcy Eq)</v>
          </cell>
          <cell r="E1662" t="str">
            <v>Total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</row>
        <row r="1663"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</row>
        <row r="1664">
          <cell r="A1664" t="str">
            <v>----------</v>
          </cell>
          <cell r="B1664" t="str">
            <v>----------------------------------------</v>
          </cell>
          <cell r="C1664" t="str">
            <v>------------------------------</v>
          </cell>
          <cell r="D1664" t="str">
            <v>------------------------------</v>
          </cell>
          <cell r="E1664" t="str">
            <v>----------------------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</row>
        <row r="1665">
          <cell r="A1665" t="str">
            <v>Liability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</row>
        <row r="1666"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</row>
        <row r="1667">
          <cell r="A1667">
            <v>240060088</v>
          </cell>
          <cell r="B1667" t="str">
            <v>FIRS COLLECTION PAYABLE</v>
          </cell>
          <cell r="C1667">
            <v>0</v>
          </cell>
          <cell r="D1667">
            <v>0</v>
          </cell>
          <cell r="E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</row>
        <row r="1668">
          <cell r="A1668">
            <v>240060089</v>
          </cell>
          <cell r="B1668" t="str">
            <v>FLIT CASH COLLECTION PAYABLE</v>
          </cell>
          <cell r="C1668">
            <v>0</v>
          </cell>
          <cell r="D1668">
            <v>0</v>
          </cell>
          <cell r="E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</row>
        <row r="1669">
          <cell r="A1669">
            <v>240060090</v>
          </cell>
          <cell r="B1669" t="str">
            <v>NIBBS TRANSFER PAYABLE</v>
          </cell>
          <cell r="C1669">
            <v>185318156.94999999</v>
          </cell>
          <cell r="D1669">
            <v>47402.04</v>
          </cell>
          <cell r="E1669">
            <v>185365558.99000001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185365558.99000001</v>
          </cell>
          <cell r="T1669">
            <v>185365558.99000001</v>
          </cell>
        </row>
        <row r="1670">
          <cell r="A1670">
            <v>240060091</v>
          </cell>
          <cell r="B1670" t="str">
            <v>NATIONAL CYBER SECURITY COLLECTI</v>
          </cell>
          <cell r="C1670">
            <v>0</v>
          </cell>
          <cell r="D1670">
            <v>0</v>
          </cell>
          <cell r="E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</row>
        <row r="1671">
          <cell r="A1671">
            <v>240060097</v>
          </cell>
          <cell r="B1671" t="str">
            <v>POLARIS EXCLUSIVE CLUB A/C</v>
          </cell>
          <cell r="C1671">
            <v>9196000</v>
          </cell>
          <cell r="D1671">
            <v>0</v>
          </cell>
          <cell r="E1671">
            <v>9196000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9196000</v>
          </cell>
          <cell r="T1671">
            <v>9196000</v>
          </cell>
        </row>
        <row r="1672">
          <cell r="A1672">
            <v>240060101</v>
          </cell>
          <cell r="B1672" t="str">
            <v>UP VISA CARD LOCAL REMOTE ON-US</v>
          </cell>
          <cell r="C1672">
            <v>5500</v>
          </cell>
          <cell r="D1672">
            <v>0</v>
          </cell>
          <cell r="E1672">
            <v>5500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5500</v>
          </cell>
          <cell r="T1672">
            <v>5500</v>
          </cell>
        </row>
        <row r="1673">
          <cell r="A1673">
            <v>240060104</v>
          </cell>
          <cell r="B1673" t="str">
            <v>UP VISA CARD LOCAL REMOTE ON-US</v>
          </cell>
          <cell r="C1673">
            <v>2090.1</v>
          </cell>
          <cell r="D1673">
            <v>0</v>
          </cell>
          <cell r="E1673">
            <v>2090.1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2090.1</v>
          </cell>
          <cell r="T1673">
            <v>2090.1</v>
          </cell>
        </row>
        <row r="1674">
          <cell r="A1674">
            <v>240060107</v>
          </cell>
          <cell r="B1674" t="str">
            <v>UP VISA CARD FEE PAYABLE GL</v>
          </cell>
          <cell r="C1674">
            <v>3000</v>
          </cell>
          <cell r="D1674">
            <v>0</v>
          </cell>
          <cell r="E1674">
            <v>3000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3000</v>
          </cell>
          <cell r="T1674">
            <v>3000</v>
          </cell>
        </row>
        <row r="1675">
          <cell r="A1675">
            <v>240060109</v>
          </cell>
          <cell r="B1675" t="str">
            <v>A/C PAYABLE- ETZ Web</v>
          </cell>
          <cell r="C1675">
            <v>811216.75</v>
          </cell>
          <cell r="D1675">
            <v>0</v>
          </cell>
          <cell r="E1675">
            <v>811216.75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811216.75</v>
          </cell>
          <cell r="T1675">
            <v>811216.75</v>
          </cell>
        </row>
        <row r="1676">
          <cell r="A1676">
            <v>240060110</v>
          </cell>
          <cell r="B1676" t="str">
            <v>A/C PAY- CASA SETTL FOR ETZ MOBI</v>
          </cell>
          <cell r="C1676">
            <v>0</v>
          </cell>
          <cell r="D1676">
            <v>0</v>
          </cell>
          <cell r="E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</row>
        <row r="1677">
          <cell r="A1677">
            <v>240060111</v>
          </cell>
          <cell r="B1677" t="str">
            <v>A/C PAY- INTERBANK ELECTRONIC TR</v>
          </cell>
          <cell r="C1677">
            <v>0</v>
          </cell>
          <cell r="D1677">
            <v>0</v>
          </cell>
          <cell r="E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</row>
        <row r="1678">
          <cell r="A1678">
            <v>240060112</v>
          </cell>
          <cell r="B1678" t="str">
            <v>A/C PAY- INTERBANK ELECTR TRANSF</v>
          </cell>
          <cell r="C1678">
            <v>0</v>
          </cell>
          <cell r="D1678">
            <v>0</v>
          </cell>
          <cell r="E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</row>
        <row r="1679">
          <cell r="A1679">
            <v>240060113</v>
          </cell>
          <cell r="B1679" t="str">
            <v>A/C PAY- NIBSS FASTER PMT INWARD</v>
          </cell>
          <cell r="C1679">
            <v>0</v>
          </cell>
          <cell r="D1679">
            <v>0</v>
          </cell>
          <cell r="E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</row>
        <row r="1680">
          <cell r="A1680">
            <v>240060114</v>
          </cell>
          <cell r="B1680" t="str">
            <v>A/C PAY- NIBSS FASTER PMT OUTWAR</v>
          </cell>
          <cell r="C1680">
            <v>8133382734.3199997</v>
          </cell>
          <cell r="D1680">
            <v>0</v>
          </cell>
          <cell r="E1680">
            <v>8133382734.3199997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8133382734.3199997</v>
          </cell>
          <cell r="T1680">
            <v>8133382734.3199997</v>
          </cell>
        </row>
        <row r="1681">
          <cell r="A1681">
            <v>240060115</v>
          </cell>
          <cell r="B1681" t="str">
            <v>A/C PAY- ETZ INWARD</v>
          </cell>
          <cell r="C1681">
            <v>0</v>
          </cell>
          <cell r="D1681">
            <v>0</v>
          </cell>
          <cell r="E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</row>
        <row r="1682">
          <cell r="A1682">
            <v>240060116</v>
          </cell>
          <cell r="B1682" t="str">
            <v>A/C PAY- UPSL INWARD TRANSN</v>
          </cell>
          <cell r="C1682">
            <v>0</v>
          </cell>
          <cell r="D1682">
            <v>0</v>
          </cell>
          <cell r="E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</row>
        <row r="1683">
          <cell r="A1683">
            <v>240060117</v>
          </cell>
          <cell r="B1683" t="str">
            <v>A/C PAY- REMITA CORP TRANSIT ACC</v>
          </cell>
          <cell r="C1683">
            <v>2828671028.2399998</v>
          </cell>
          <cell r="D1683">
            <v>0</v>
          </cell>
          <cell r="E1683">
            <v>2828671028.2399998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2828671028.2399998</v>
          </cell>
          <cell r="T1683">
            <v>2828671028.2399998</v>
          </cell>
        </row>
        <row r="1684">
          <cell r="A1684">
            <v>240060118</v>
          </cell>
          <cell r="B1684" t="str">
            <v>A/C PAY- PAPSS INWARD ACCOUNT</v>
          </cell>
          <cell r="C1684">
            <v>0</v>
          </cell>
          <cell r="D1684">
            <v>0</v>
          </cell>
          <cell r="E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</row>
        <row r="1685">
          <cell r="A1685">
            <v>240060119</v>
          </cell>
          <cell r="B1685" t="str">
            <v>AFRIGO CARD-POS REMOTE ON US</v>
          </cell>
          <cell r="C1685">
            <v>11866573.65</v>
          </cell>
          <cell r="D1685">
            <v>0</v>
          </cell>
          <cell r="E1685">
            <v>11866573.65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11866573.65</v>
          </cell>
          <cell r="T1685">
            <v>11866573.65</v>
          </cell>
        </row>
        <row r="1686">
          <cell r="A1686">
            <v>240060121</v>
          </cell>
          <cell r="B1686" t="str">
            <v>AFRIGO CARD-ATM REMOTE ON US</v>
          </cell>
          <cell r="C1686">
            <v>434480</v>
          </cell>
          <cell r="D1686">
            <v>0</v>
          </cell>
          <cell r="E1686">
            <v>434480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434480</v>
          </cell>
          <cell r="T1686">
            <v>434480</v>
          </cell>
        </row>
        <row r="1687">
          <cell r="A1687">
            <v>240070001</v>
          </cell>
          <cell r="B1687" t="str">
            <v>WTH TAX PAY CONTRACTORS IND 15%</v>
          </cell>
          <cell r="C1687">
            <v>10890000</v>
          </cell>
          <cell r="D1687">
            <v>0</v>
          </cell>
          <cell r="E1687">
            <v>10890000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10890000</v>
          </cell>
          <cell r="T1687">
            <v>10890000</v>
          </cell>
        </row>
        <row r="1688">
          <cell r="A1688">
            <v>240070002</v>
          </cell>
          <cell r="B1688" t="str">
            <v>WTH TAX PAY CONTRACTORS IND 5%</v>
          </cell>
          <cell r="C1688">
            <v>44091730.130000003</v>
          </cell>
          <cell r="D1688">
            <v>0</v>
          </cell>
          <cell r="E1688">
            <v>44091730.130000003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44091730.130000003</v>
          </cell>
          <cell r="T1688">
            <v>44091730.130000003</v>
          </cell>
        </row>
        <row r="1689">
          <cell r="A1689">
            <v>240070003</v>
          </cell>
          <cell r="B1689" t="str">
            <v>WTH TAX PAYABLE RENT INDIVIDUAL</v>
          </cell>
          <cell r="C1689">
            <v>0</v>
          </cell>
          <cell r="D1689">
            <v>0</v>
          </cell>
          <cell r="E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</row>
        <row r="1690">
          <cell r="A1690">
            <v>240070004</v>
          </cell>
          <cell r="B1690" t="str">
            <v>WTH TAX PAYABLE - TD -004 (INDIV</v>
          </cell>
          <cell r="C1690">
            <v>309899846.70999998</v>
          </cell>
          <cell r="D1690">
            <v>0</v>
          </cell>
          <cell r="E1690">
            <v>309899846.70999998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309899846.70999998</v>
          </cell>
          <cell r="T1690">
            <v>309899846.70999998</v>
          </cell>
        </row>
        <row r="1691">
          <cell r="A1691">
            <v>240070005</v>
          </cell>
          <cell r="B1691" t="str">
            <v>WTH TAX PAYABLE - CURRENT ACCOUN</v>
          </cell>
          <cell r="C1691">
            <v>27160371.48</v>
          </cell>
          <cell r="D1691">
            <v>0</v>
          </cell>
          <cell r="E1691">
            <v>27160371.48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27160371.48</v>
          </cell>
          <cell r="T1691">
            <v>27160371.48</v>
          </cell>
        </row>
        <row r="1692">
          <cell r="A1692">
            <v>240070006</v>
          </cell>
          <cell r="B1692" t="str">
            <v>WTH TAX PAYABLE - SAVINGS ACCOUN</v>
          </cell>
          <cell r="C1692">
            <v>205201335.84</v>
          </cell>
          <cell r="D1692">
            <v>0</v>
          </cell>
          <cell r="E1692">
            <v>205201335.84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205201335.84</v>
          </cell>
          <cell r="T1692">
            <v>205201335.84</v>
          </cell>
        </row>
        <row r="1693">
          <cell r="A1693">
            <v>240070007</v>
          </cell>
          <cell r="B1693" t="str">
            <v>WHT- PAYABLE ON SPECIAL DEPOSIT</v>
          </cell>
          <cell r="C1693">
            <v>478484851.36000001</v>
          </cell>
          <cell r="D1693">
            <v>0</v>
          </cell>
          <cell r="E1693">
            <v>478484851.36000001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478484851.36000001</v>
          </cell>
          <cell r="T1693">
            <v>478484851.36000001</v>
          </cell>
        </row>
        <row r="1694">
          <cell r="A1694">
            <v>240070008</v>
          </cell>
          <cell r="B1694" t="str">
            <v>WTH TAX PAY CONTRACTORS CORP 10%</v>
          </cell>
          <cell r="C1694">
            <v>-0.01</v>
          </cell>
          <cell r="D1694">
            <v>13398574.98</v>
          </cell>
          <cell r="E1694">
            <v>13398574.970000001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13398574.970000001</v>
          </cell>
          <cell r="T1694">
            <v>13398574.970000001</v>
          </cell>
        </row>
        <row r="1695">
          <cell r="A1695">
            <v>240070009</v>
          </cell>
          <cell r="B1695" t="str">
            <v>WTH TAX PAY CONTRACTORS CORP 5%</v>
          </cell>
          <cell r="C1695">
            <v>89979249.75</v>
          </cell>
          <cell r="D1695">
            <v>39878976.539999999</v>
          </cell>
          <cell r="E1695">
            <v>129858226.29000001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129858226.29000001</v>
          </cell>
          <cell r="T1695">
            <v>129858226.29000001</v>
          </cell>
        </row>
        <row r="1696">
          <cell r="A1696">
            <v>240070010</v>
          </cell>
          <cell r="B1696" t="str">
            <v>WTH TAX PAYABLE RENT</v>
          </cell>
          <cell r="C1696">
            <v>30000</v>
          </cell>
          <cell r="D1696">
            <v>0</v>
          </cell>
          <cell r="E1696">
            <v>30000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30000</v>
          </cell>
          <cell r="T1696">
            <v>30000</v>
          </cell>
        </row>
        <row r="1697">
          <cell r="A1697">
            <v>240070011</v>
          </cell>
          <cell r="B1697" t="str">
            <v>WHT ON COMM- SUREPADI AGENTS</v>
          </cell>
          <cell r="C1697">
            <v>569.45000000000005</v>
          </cell>
          <cell r="D1697">
            <v>0</v>
          </cell>
          <cell r="E1697">
            <v>569.45000000000005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569.45000000000005</v>
          </cell>
          <cell r="T1697">
            <v>569.45000000000005</v>
          </cell>
        </row>
        <row r="1698">
          <cell r="A1698">
            <v>240070012</v>
          </cell>
          <cell r="B1698" t="str">
            <v>WTH TAX PAY CONTRACTORS CORP 2%</v>
          </cell>
          <cell r="C1698">
            <v>16815203.780000001</v>
          </cell>
          <cell r="D1698">
            <v>0</v>
          </cell>
          <cell r="E1698">
            <v>16815203.780000001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16815203.780000001</v>
          </cell>
          <cell r="T1698">
            <v>16815203.780000001</v>
          </cell>
        </row>
        <row r="1699">
          <cell r="A1699">
            <v>240070013</v>
          </cell>
          <cell r="B1699" t="str">
            <v>WTH TAX PAY CONTRACTORS IND 2%</v>
          </cell>
          <cell r="C1699">
            <v>5007324.33</v>
          </cell>
          <cell r="D1699">
            <v>0</v>
          </cell>
          <cell r="E1699">
            <v>5007324.33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5007324.33</v>
          </cell>
          <cell r="T1699">
            <v>5007324.33</v>
          </cell>
        </row>
        <row r="1700">
          <cell r="A1700">
            <v>240070014</v>
          </cell>
          <cell r="B1700" t="str">
            <v>MTN ON DEMAND WHT HOLDING ACCOUN</v>
          </cell>
          <cell r="C1700">
            <v>7867849.0099999998</v>
          </cell>
          <cell r="D1700">
            <v>0</v>
          </cell>
          <cell r="E1700">
            <v>7867849.0099999998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7867849.0099999998</v>
          </cell>
          <cell r="T1700">
            <v>7867849.0099999998</v>
          </cell>
        </row>
        <row r="1701">
          <cell r="A1701">
            <v>240080100</v>
          </cell>
          <cell r="B1701" t="str">
            <v>VAT PAYABLE</v>
          </cell>
          <cell r="C1701">
            <v>2315186.35</v>
          </cell>
          <cell r="D1701">
            <v>-2466.41</v>
          </cell>
          <cell r="E1701">
            <v>2312719.94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2312719.94</v>
          </cell>
          <cell r="T1701">
            <v>2312719.94</v>
          </cell>
        </row>
        <row r="1702">
          <cell r="A1702">
            <v>240080200</v>
          </cell>
          <cell r="B1702" t="str">
            <v>VAT PAYABLE-SELF CHARGE</v>
          </cell>
          <cell r="C1702">
            <v>24285298.710000001</v>
          </cell>
          <cell r="D1702">
            <v>1772253.54</v>
          </cell>
          <cell r="E1702">
            <v>26057552.25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26057552.25</v>
          </cell>
          <cell r="T1702">
            <v>26057552.25</v>
          </cell>
        </row>
        <row r="1703">
          <cell r="A1703">
            <v>240080300</v>
          </cell>
          <cell r="B1703" t="str">
            <v>VALUE ADDED TAX PAYABLE</v>
          </cell>
          <cell r="C1703">
            <v>121264484.27</v>
          </cell>
          <cell r="D1703">
            <v>20315491.350000001</v>
          </cell>
          <cell r="E1703">
            <v>141579975.62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141579975.62</v>
          </cell>
          <cell r="T1703">
            <v>141579975.62</v>
          </cell>
        </row>
        <row r="1704">
          <cell r="A1704">
            <v>240080400</v>
          </cell>
          <cell r="B1704" t="str">
            <v>WHT- CUSTOMERS INVESTMENT SECURI</v>
          </cell>
          <cell r="C1704">
            <v>36899813.890000001</v>
          </cell>
          <cell r="D1704">
            <v>0</v>
          </cell>
          <cell r="E1704">
            <v>36899813.890000001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36899813.890000001</v>
          </cell>
          <cell r="T1704">
            <v>36899813.890000001</v>
          </cell>
        </row>
        <row r="1705">
          <cell r="A1705">
            <v>240080500</v>
          </cell>
          <cell r="B1705" t="str">
            <v>VAT ON TAXABLE SUPPLIES TO POLAR</v>
          </cell>
          <cell r="C1705">
            <v>275142052.31</v>
          </cell>
          <cell r="D1705">
            <v>63056580.600000001</v>
          </cell>
          <cell r="E1705">
            <v>338198632.91000003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338198632.91000003</v>
          </cell>
          <cell r="T1705">
            <v>338198632.91000003</v>
          </cell>
        </row>
        <row r="1706">
          <cell r="A1706">
            <v>240080600</v>
          </cell>
          <cell r="B1706" t="str">
            <v>WHT ACCOUNTS - CORPORATE</v>
          </cell>
          <cell r="C1706">
            <v>0</v>
          </cell>
          <cell r="D1706">
            <v>0</v>
          </cell>
          <cell r="E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</row>
        <row r="1707">
          <cell r="A1707">
            <v>240080700</v>
          </cell>
          <cell r="B1707" t="str">
            <v>WITHHOLDING TAX DOUBLE CHARGES</v>
          </cell>
          <cell r="C1707">
            <v>0</v>
          </cell>
          <cell r="D1707">
            <v>0</v>
          </cell>
          <cell r="E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</row>
        <row r="1708">
          <cell r="A1708">
            <v>240080800</v>
          </cell>
          <cell r="B1708" t="str">
            <v>MTN ON DEMAND VAT HOLDING ACCOUN</v>
          </cell>
          <cell r="C1708">
            <v>5571555.7300000004</v>
          </cell>
          <cell r="D1708">
            <v>0</v>
          </cell>
          <cell r="E1708">
            <v>5571555.7300000004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5571555.7300000004</v>
          </cell>
          <cell r="T1708">
            <v>5571555.7300000004</v>
          </cell>
        </row>
        <row r="1709">
          <cell r="A1709">
            <v>240090002</v>
          </cell>
          <cell r="B1709" t="str">
            <v>ACC AUDIT FEES</v>
          </cell>
          <cell r="C1709">
            <v>0</v>
          </cell>
          <cell r="D1709">
            <v>0</v>
          </cell>
          <cell r="E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</row>
        <row r="1710">
          <cell r="A1710">
            <v>240090003</v>
          </cell>
          <cell r="B1710" t="str">
            <v>ACC EXPS   BUSINESS GIFTS</v>
          </cell>
          <cell r="C1710">
            <v>0</v>
          </cell>
          <cell r="D1710">
            <v>0</v>
          </cell>
          <cell r="E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</row>
        <row r="1711">
          <cell r="A1711" t="str">
            <v>_x0012_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</row>
        <row r="1712"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</row>
        <row r="1713">
          <cell r="C1713" t="str">
            <v>Polaris Bank Limited, N</v>
          </cell>
          <cell r="D1713" t="str">
            <v>igeria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</row>
        <row r="1714">
          <cell r="C1714" t="str">
            <v>** Consolidated Balance Shee</v>
          </cell>
          <cell r="D1714" t="str">
            <v>t CBN **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</row>
        <row r="1715"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</row>
        <row r="1716">
          <cell r="C1716" t="str">
            <v>As on :     31-OCT-2025</v>
          </cell>
          <cell r="E1716" t="str">
            <v>Page   :   31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</row>
        <row r="1717"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</row>
        <row r="1718">
          <cell r="A1718" t="str">
            <v>User Id :</v>
          </cell>
          <cell r="B1718" t="str">
            <v>SYSTEM</v>
          </cell>
          <cell r="C1718" t="str">
            <v>Date 1 Time :     01-NOV-2025</v>
          </cell>
          <cell r="D1718">
            <v>0.21625000000000003</v>
          </cell>
          <cell r="E1718" t="str">
            <v>Module :   GL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</row>
        <row r="1719">
          <cell r="A1719" t="str">
            <v>----------</v>
          </cell>
          <cell r="B1719" t="str">
            <v>----------------------------------------</v>
          </cell>
          <cell r="C1719" t="str">
            <v>------------------------------</v>
          </cell>
          <cell r="D1719" t="str">
            <v>------------------------------</v>
          </cell>
          <cell r="E1719" t="str">
            <v>----------------------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</row>
        <row r="1720">
          <cell r="A1720" t="str">
            <v>GL Code</v>
          </cell>
          <cell r="B1720" t="str">
            <v>Description</v>
          </cell>
          <cell r="C1720" t="str">
            <v>LCY Amount</v>
          </cell>
          <cell r="D1720" t="str">
            <v>FCY Amount (Lcy Eq)</v>
          </cell>
          <cell r="E1720" t="str">
            <v>Total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</row>
        <row r="1721"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</row>
        <row r="1722">
          <cell r="A1722" t="str">
            <v>----------</v>
          </cell>
          <cell r="B1722" t="str">
            <v>----------------------------------------</v>
          </cell>
          <cell r="C1722" t="str">
            <v>------------------------------</v>
          </cell>
          <cell r="D1722" t="str">
            <v>------------------------------</v>
          </cell>
          <cell r="E1722" t="str">
            <v>----------------------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</row>
        <row r="1723">
          <cell r="A1723" t="str">
            <v>Liability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</row>
        <row r="1724"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</row>
        <row r="1725">
          <cell r="A1725">
            <v>240090004</v>
          </cell>
          <cell r="B1725" t="str">
            <v>ACC DIRECTORS FEES</v>
          </cell>
          <cell r="C1725">
            <v>0</v>
          </cell>
          <cell r="D1725">
            <v>0</v>
          </cell>
          <cell r="E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</row>
        <row r="1726">
          <cell r="A1726">
            <v>240090005</v>
          </cell>
          <cell r="B1726" t="str">
            <v>ACC ELECTRICITY EXPS</v>
          </cell>
          <cell r="C1726">
            <v>0</v>
          </cell>
          <cell r="D1726">
            <v>0</v>
          </cell>
          <cell r="E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</row>
        <row r="1727">
          <cell r="A1727">
            <v>240090006</v>
          </cell>
          <cell r="B1727" t="str">
            <v>ACC LEGAL FEES</v>
          </cell>
          <cell r="C1727">
            <v>0</v>
          </cell>
          <cell r="D1727">
            <v>0</v>
          </cell>
          <cell r="E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</row>
        <row r="1728">
          <cell r="A1728">
            <v>240090007</v>
          </cell>
          <cell r="B1728" t="str">
            <v>ACC MAINTENANCE EXPS</v>
          </cell>
          <cell r="C1728">
            <v>911409856.36000001</v>
          </cell>
          <cell r="D1728">
            <v>3509784564.5700002</v>
          </cell>
          <cell r="E1728">
            <v>4421194420.9300003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-933043667.03000009</v>
          </cell>
          <cell r="P1728">
            <v>0</v>
          </cell>
          <cell r="Q1728">
            <v>0</v>
          </cell>
          <cell r="R1728">
            <v>0</v>
          </cell>
          <cell r="S1728">
            <v>3488150753.9000001</v>
          </cell>
          <cell r="T1728">
            <v>3488150753.9000001</v>
          </cell>
        </row>
        <row r="1729">
          <cell r="A1729">
            <v>240090008</v>
          </cell>
          <cell r="B1729" t="str">
            <v>ACC PROFESSIONAL SERVICE FEES</v>
          </cell>
          <cell r="C1729">
            <v>31961274.649999999</v>
          </cell>
          <cell r="D1729">
            <v>0</v>
          </cell>
          <cell r="E1729">
            <v>31961274.649999999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31961274.649999999</v>
          </cell>
          <cell r="T1729">
            <v>31961274.649999999</v>
          </cell>
        </row>
        <row r="1730">
          <cell r="A1730">
            <v>240090009</v>
          </cell>
          <cell r="B1730" t="str">
            <v>ACC TAXATION FEES</v>
          </cell>
          <cell r="C1730">
            <v>0</v>
          </cell>
          <cell r="D1730">
            <v>0</v>
          </cell>
          <cell r="E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</row>
        <row r="1731">
          <cell r="A1731">
            <v>240090010</v>
          </cell>
          <cell r="B1731" t="str">
            <v>ACC TELEPHONE &amp; TELEX EXPS</v>
          </cell>
          <cell r="C1731">
            <v>0</v>
          </cell>
          <cell r="D1731">
            <v>0</v>
          </cell>
          <cell r="E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</row>
        <row r="1732">
          <cell r="A1732">
            <v>240090011</v>
          </cell>
          <cell r="B1732" t="str">
            <v>ACC ADVERTISEMENT EXPS</v>
          </cell>
          <cell r="C1732">
            <v>0</v>
          </cell>
          <cell r="D1732">
            <v>0</v>
          </cell>
          <cell r="E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</row>
        <row r="1733">
          <cell r="A1733">
            <v>240090015</v>
          </cell>
          <cell r="B1733" t="str">
            <v>ACC OTHER ADMIN. EXPS</v>
          </cell>
          <cell r="C1733">
            <v>537684.62</v>
          </cell>
          <cell r="D1733">
            <v>0</v>
          </cell>
          <cell r="E1733">
            <v>537684.62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537684.62</v>
          </cell>
          <cell r="T1733">
            <v>537684.62</v>
          </cell>
        </row>
        <row r="1734">
          <cell r="A1734">
            <v>240090017</v>
          </cell>
          <cell r="B1734" t="str">
            <v>ACCRUED EMPLOYEE BENEFIT (BMR)</v>
          </cell>
          <cell r="C1734">
            <v>15422061.33</v>
          </cell>
          <cell r="D1734">
            <v>0</v>
          </cell>
          <cell r="E1734">
            <v>15422061.33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15422061.33</v>
          </cell>
          <cell r="T1734">
            <v>15422061.33</v>
          </cell>
        </row>
        <row r="1735">
          <cell r="A1735">
            <v>240100000</v>
          </cell>
          <cell r="B1735" t="str">
            <v>IB HEAD OFFICE GL</v>
          </cell>
          <cell r="C1735">
            <v>-2709843656.9400001</v>
          </cell>
          <cell r="D1735">
            <v>1084470820.6900001</v>
          </cell>
          <cell r="E1735">
            <v>-1625372836.25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1625372836.25</v>
          </cell>
          <cell r="T1735">
            <v>1625372836.25</v>
          </cell>
        </row>
        <row r="1736">
          <cell r="A1736">
            <v>240110000</v>
          </cell>
          <cell r="B1736" t="str">
            <v>BRIDGE GL</v>
          </cell>
          <cell r="C1736">
            <v>80057308.609999999</v>
          </cell>
          <cell r="D1736">
            <v>-8517666.5999999996</v>
          </cell>
          <cell r="E1736">
            <v>71539642.010000005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71539642.010000005</v>
          </cell>
          <cell r="T1736">
            <v>71539642.010000005</v>
          </cell>
        </row>
        <row r="1737">
          <cell r="A1737">
            <v>240120010</v>
          </cell>
          <cell r="B1737" t="str">
            <v>TRANSACTION SUSPENSE   LCY</v>
          </cell>
          <cell r="C1737">
            <v>88773111.5</v>
          </cell>
          <cell r="D1737">
            <v>5857610.96</v>
          </cell>
          <cell r="E1737">
            <v>94630722.459999993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94630722.459999993</v>
          </cell>
          <cell r="T1737">
            <v>94630722.459999993</v>
          </cell>
        </row>
        <row r="1738">
          <cell r="A1738">
            <v>240120020</v>
          </cell>
          <cell r="B1738" t="str">
            <v>TRANSACTION SUSPENSE   FCY</v>
          </cell>
          <cell r="C1738">
            <v>-5743550.5</v>
          </cell>
          <cell r="D1738">
            <v>20247161.309999999</v>
          </cell>
          <cell r="E1738">
            <v>14503610.810000001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14503610.810000001</v>
          </cell>
          <cell r="T1738">
            <v>14503610.810000001</v>
          </cell>
        </row>
        <row r="1739">
          <cell r="A1739">
            <v>240120030</v>
          </cell>
          <cell r="B1739" t="str">
            <v>BRANCH SUSPENSE GL</v>
          </cell>
          <cell r="C1739">
            <v>-13437209.68</v>
          </cell>
          <cell r="D1739">
            <v>171494.98</v>
          </cell>
          <cell r="E1739">
            <v>-13265714.699999999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13265714.699999999</v>
          </cell>
          <cell r="T1739">
            <v>13265714.699999999</v>
          </cell>
        </row>
        <row r="1740">
          <cell r="A1740">
            <v>240120040</v>
          </cell>
          <cell r="B1740" t="str">
            <v>FOREIGN FACILITY SUSPENSE</v>
          </cell>
          <cell r="C1740">
            <v>0</v>
          </cell>
          <cell r="D1740">
            <v>0</v>
          </cell>
          <cell r="E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</row>
        <row r="1741">
          <cell r="A1741">
            <v>240120050</v>
          </cell>
          <cell r="B1741" t="str">
            <v>CORPORATE GL UPLOAD SUSPENSE</v>
          </cell>
          <cell r="C1741">
            <v>0</v>
          </cell>
          <cell r="D1741">
            <v>0</v>
          </cell>
          <cell r="E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</row>
        <row r="1742">
          <cell r="A1742">
            <v>240120060</v>
          </cell>
          <cell r="B1742" t="str">
            <v>EOD SUSPENSE GL.</v>
          </cell>
          <cell r="C1742">
            <v>4502900.32</v>
          </cell>
          <cell r="D1742">
            <v>-393682.26</v>
          </cell>
          <cell r="E1742">
            <v>4109218.06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4109218.06</v>
          </cell>
          <cell r="T1742">
            <v>4109218.06</v>
          </cell>
        </row>
        <row r="1743">
          <cell r="A1743">
            <v>240120070</v>
          </cell>
          <cell r="B1743" t="str">
            <v>EX STAFF INTEREST SUSPENSE GL</v>
          </cell>
          <cell r="C1743">
            <v>0</v>
          </cell>
          <cell r="D1743">
            <v>0</v>
          </cell>
          <cell r="E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</row>
        <row r="1744">
          <cell r="A1744">
            <v>240120080</v>
          </cell>
          <cell r="B1744" t="str">
            <v>SUSPENSE ACCOUNT - HO OPS</v>
          </cell>
          <cell r="C1744">
            <v>0</v>
          </cell>
          <cell r="D1744">
            <v>0</v>
          </cell>
          <cell r="E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</row>
        <row r="1745">
          <cell r="A1745">
            <v>240120090</v>
          </cell>
          <cell r="B1745" t="str">
            <v>TIME DEPOSIT SUSPENSE</v>
          </cell>
          <cell r="C1745">
            <v>1501282.01</v>
          </cell>
          <cell r="D1745">
            <v>0</v>
          </cell>
          <cell r="E1745">
            <v>1501282.01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1501282.01</v>
          </cell>
          <cell r="T1745">
            <v>1501282.01</v>
          </cell>
        </row>
        <row r="1746">
          <cell r="A1746">
            <v>240120100</v>
          </cell>
          <cell r="B1746" t="str">
            <v>TRANSACTION SUSPENSE WUMT</v>
          </cell>
          <cell r="C1746">
            <v>0</v>
          </cell>
          <cell r="D1746">
            <v>0</v>
          </cell>
          <cell r="E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</row>
        <row r="1747">
          <cell r="A1747">
            <v>240120110</v>
          </cell>
          <cell r="B1747" t="str">
            <v>TREASURY SUSPENSE GL</v>
          </cell>
          <cell r="C1747">
            <v>0</v>
          </cell>
          <cell r="D1747">
            <v>0</v>
          </cell>
          <cell r="E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</row>
        <row r="1748">
          <cell r="A1748">
            <v>240120111</v>
          </cell>
          <cell r="B1748" t="str">
            <v>BRIDGE GL -MONEY MARKET</v>
          </cell>
          <cell r="C1748">
            <v>0</v>
          </cell>
          <cell r="D1748">
            <v>0</v>
          </cell>
          <cell r="E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</row>
        <row r="1749">
          <cell r="A1749">
            <v>240120112</v>
          </cell>
          <cell r="B1749" t="str">
            <v>FX BRIDGE GL</v>
          </cell>
          <cell r="C1749">
            <v>0</v>
          </cell>
          <cell r="D1749">
            <v>0</v>
          </cell>
          <cell r="E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</row>
        <row r="1750">
          <cell r="A1750">
            <v>240120120</v>
          </cell>
          <cell r="B1750" t="str">
            <v>SUSPENSE GL-INTOPS</v>
          </cell>
          <cell r="C1750">
            <v>0</v>
          </cell>
          <cell r="D1750">
            <v>57986140.100000001</v>
          </cell>
          <cell r="E1750">
            <v>57986140.100000001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57986140.100000001</v>
          </cell>
          <cell r="T1750">
            <v>57986140.100000001</v>
          </cell>
        </row>
        <row r="1751">
          <cell r="A1751">
            <v>240120130</v>
          </cell>
          <cell r="B1751" t="str">
            <v>CID SUSPENSE(CENTRAL.INSURANCE D</v>
          </cell>
          <cell r="C1751">
            <v>1480699.31</v>
          </cell>
          <cell r="D1751">
            <v>0</v>
          </cell>
          <cell r="E1751">
            <v>1480699.31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1480699.31</v>
          </cell>
          <cell r="T1751">
            <v>1480699.31</v>
          </cell>
        </row>
        <row r="1752">
          <cell r="A1752">
            <v>240120140</v>
          </cell>
          <cell r="B1752" t="str">
            <v>ASSETS DISPOSAL SUSPENSE GL</v>
          </cell>
          <cell r="C1752">
            <v>90309013</v>
          </cell>
          <cell r="D1752">
            <v>0</v>
          </cell>
          <cell r="E1752">
            <v>90309013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90309013</v>
          </cell>
          <cell r="T1752">
            <v>90309013</v>
          </cell>
        </row>
        <row r="1753">
          <cell r="A1753">
            <v>240120141</v>
          </cell>
          <cell r="B1753" t="str">
            <v>DIVESTMENT IN SUBSIDIARIES</v>
          </cell>
          <cell r="C1753">
            <v>0</v>
          </cell>
          <cell r="D1753">
            <v>0</v>
          </cell>
          <cell r="E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</row>
        <row r="1754">
          <cell r="A1754">
            <v>240120150</v>
          </cell>
          <cell r="B1754" t="str">
            <v>AUTOMATIC SUSPENSE GL   BA</v>
          </cell>
          <cell r="C1754">
            <v>19996276.149999999</v>
          </cell>
          <cell r="D1754">
            <v>4377064.8499999996</v>
          </cell>
          <cell r="E1754">
            <v>24373341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24373341</v>
          </cell>
          <cell r="T1754">
            <v>24373341</v>
          </cell>
        </row>
        <row r="1755">
          <cell r="A1755">
            <v>240120160</v>
          </cell>
          <cell r="B1755" t="str">
            <v>AUTOMATIC SUSPENSE GL   STL</v>
          </cell>
          <cell r="C1755">
            <v>25162.5</v>
          </cell>
          <cell r="D1755">
            <v>0</v>
          </cell>
          <cell r="E1755">
            <v>25162.5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25162.5</v>
          </cell>
          <cell r="T1755">
            <v>25162.5</v>
          </cell>
        </row>
        <row r="1756">
          <cell r="A1756">
            <v>240120170</v>
          </cell>
          <cell r="B1756" t="str">
            <v>ATM SUSPENSE GL</v>
          </cell>
          <cell r="C1756">
            <v>0</v>
          </cell>
          <cell r="D1756">
            <v>0</v>
          </cell>
          <cell r="E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</row>
        <row r="1757">
          <cell r="A1757">
            <v>240120180</v>
          </cell>
          <cell r="B1757" t="str">
            <v>POS SUSPENSE GL</v>
          </cell>
          <cell r="C1757">
            <v>2182783.4900000002</v>
          </cell>
          <cell r="D1757">
            <v>0</v>
          </cell>
          <cell r="E1757">
            <v>2182783.4900000002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2182783.4900000002</v>
          </cell>
          <cell r="T1757">
            <v>2182783.4900000002</v>
          </cell>
        </row>
        <row r="1758">
          <cell r="A1758">
            <v>240120190</v>
          </cell>
          <cell r="B1758" t="str">
            <v>INTERBANKá DEPOSIT SUSPENSE</v>
          </cell>
          <cell r="C1758">
            <v>0</v>
          </cell>
          <cell r="D1758">
            <v>0</v>
          </cell>
          <cell r="E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</row>
        <row r="1759">
          <cell r="A1759">
            <v>240120200</v>
          </cell>
          <cell r="B1759" t="str">
            <v>STAFF NET PAY SUSPENSE</v>
          </cell>
          <cell r="C1759">
            <v>12958126.24</v>
          </cell>
          <cell r="D1759">
            <v>0</v>
          </cell>
          <cell r="E1759">
            <v>12958126.24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12958126.24</v>
          </cell>
          <cell r="T1759">
            <v>12958126.24</v>
          </cell>
        </row>
        <row r="1760">
          <cell r="A1760">
            <v>240120210</v>
          </cell>
          <cell r="B1760" t="str">
            <v>RTGS SUSPENSE</v>
          </cell>
          <cell r="C1760">
            <v>33354.300000000003</v>
          </cell>
          <cell r="D1760">
            <v>0</v>
          </cell>
          <cell r="E1760">
            <v>33354.300000000003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33354.300000000003</v>
          </cell>
          <cell r="T1760">
            <v>33354.300000000003</v>
          </cell>
        </row>
        <row r="1761">
          <cell r="A1761">
            <v>240120220</v>
          </cell>
          <cell r="B1761" t="str">
            <v>FCY INFLOW SUSPENSE</v>
          </cell>
          <cell r="C1761">
            <v>0</v>
          </cell>
          <cell r="D1761">
            <v>0</v>
          </cell>
          <cell r="E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</row>
        <row r="1762">
          <cell r="A1762">
            <v>240120230</v>
          </cell>
          <cell r="B1762" t="str">
            <v>SECURITY REVALUATION SUSPENSE</v>
          </cell>
          <cell r="C1762">
            <v>0</v>
          </cell>
          <cell r="D1762">
            <v>0</v>
          </cell>
          <cell r="E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</row>
        <row r="1763">
          <cell r="A1763">
            <v>240120240</v>
          </cell>
          <cell r="B1763" t="str">
            <v>SECURITY BRIDGE SUSPENSE</v>
          </cell>
          <cell r="C1763">
            <v>0</v>
          </cell>
          <cell r="D1763">
            <v>-1294543.49</v>
          </cell>
          <cell r="E1763">
            <v>-1294543.49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1294543.49</v>
          </cell>
          <cell r="T1763">
            <v>1294543.49</v>
          </cell>
        </row>
        <row r="1764">
          <cell r="A1764">
            <v>240120250</v>
          </cell>
          <cell r="B1764" t="str">
            <v>SUSPENSE - NIRSAL CHARGE FEES</v>
          </cell>
          <cell r="C1764">
            <v>0</v>
          </cell>
          <cell r="D1764">
            <v>0</v>
          </cell>
          <cell r="E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</row>
        <row r="1765">
          <cell r="A1765">
            <v>240120260</v>
          </cell>
          <cell r="B1765" t="str">
            <v>LOCAL FACILITIES SUSPENSE</v>
          </cell>
          <cell r="C1765">
            <v>0</v>
          </cell>
          <cell r="D1765">
            <v>0</v>
          </cell>
          <cell r="E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</row>
        <row r="1766">
          <cell r="A1766">
            <v>240120270</v>
          </cell>
          <cell r="B1766" t="str">
            <v>ADVISORY FEE SUSPENSE</v>
          </cell>
          <cell r="C1766">
            <v>0</v>
          </cell>
          <cell r="D1766">
            <v>0</v>
          </cell>
          <cell r="E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</row>
        <row r="1767">
          <cell r="A1767">
            <v>240120280</v>
          </cell>
          <cell r="B1767" t="str">
            <v>AGSMIES SUSPENSE -TRANSIT</v>
          </cell>
          <cell r="C1767">
            <v>0</v>
          </cell>
          <cell r="D1767">
            <v>0</v>
          </cell>
          <cell r="E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</row>
        <row r="1768">
          <cell r="A1768">
            <v>240120290</v>
          </cell>
          <cell r="B1768" t="str">
            <v>XPLORER CARD SUSPENSE GL</v>
          </cell>
          <cell r="C1768">
            <v>6260250.1100000003</v>
          </cell>
          <cell r="D1768">
            <v>0</v>
          </cell>
          <cell r="E1768">
            <v>6260250.1100000003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6260250.1100000003</v>
          </cell>
          <cell r="T1768">
            <v>6260250.1100000003</v>
          </cell>
        </row>
        <row r="1769">
          <cell r="A1769" t="str">
            <v>_x0012_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</row>
        <row r="1770"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</row>
        <row r="1771">
          <cell r="C1771" t="str">
            <v>Polaris Bank Limited, N</v>
          </cell>
          <cell r="D1771" t="str">
            <v>igeria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</row>
        <row r="1772">
          <cell r="C1772" t="str">
            <v>** Consolidated Balance Shee</v>
          </cell>
          <cell r="D1772" t="str">
            <v>t CBN **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</row>
        <row r="1773"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</row>
        <row r="1774">
          <cell r="C1774" t="str">
            <v>As on :     31-OCT-2025</v>
          </cell>
          <cell r="E1774" t="str">
            <v>Page   :   32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</row>
        <row r="1775"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</row>
        <row r="1776">
          <cell r="A1776" t="str">
            <v>User Id :</v>
          </cell>
          <cell r="B1776" t="str">
            <v>SYSTEM</v>
          </cell>
          <cell r="C1776" t="str">
            <v>Date 1 Time :     01-NOV-2025</v>
          </cell>
          <cell r="D1776">
            <v>0.21625000000000003</v>
          </cell>
          <cell r="E1776" t="str">
            <v>Module :   GL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</row>
        <row r="1777">
          <cell r="A1777" t="str">
            <v>----------</v>
          </cell>
          <cell r="B1777" t="str">
            <v>----------------------------------------</v>
          </cell>
          <cell r="C1777" t="str">
            <v>------------------------------</v>
          </cell>
          <cell r="D1777" t="str">
            <v>------------------------------</v>
          </cell>
          <cell r="E1777" t="str">
            <v>----------------------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</row>
        <row r="1778">
          <cell r="A1778" t="str">
            <v>GL Code</v>
          </cell>
          <cell r="B1778" t="str">
            <v>Description</v>
          </cell>
          <cell r="C1778" t="str">
            <v>LCY Amount</v>
          </cell>
          <cell r="D1778" t="str">
            <v>FCY Amount (Lcy Eq)</v>
          </cell>
          <cell r="E1778" t="str">
            <v>Total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</row>
        <row r="1779"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</row>
        <row r="1780">
          <cell r="A1780" t="str">
            <v>----------</v>
          </cell>
          <cell r="B1780" t="str">
            <v>----------------------------------------</v>
          </cell>
          <cell r="C1780" t="str">
            <v>------------------------------</v>
          </cell>
          <cell r="D1780" t="str">
            <v>------------------------------</v>
          </cell>
          <cell r="E1780" t="str">
            <v>----------------------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</row>
        <row r="1781">
          <cell r="A1781" t="str">
            <v>Liability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</row>
        <row r="1782"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</row>
        <row r="1783">
          <cell r="A1783">
            <v>240130100</v>
          </cell>
          <cell r="B1783" t="str">
            <v>ACCUM. DEPRN - LEASEHOLD LAND AN</v>
          </cell>
          <cell r="C1783">
            <v>8567541527.3100004</v>
          </cell>
          <cell r="D1783">
            <v>0</v>
          </cell>
          <cell r="E1783">
            <v>8567541527.3100004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8567541527.3100004</v>
          </cell>
          <cell r="T1783">
            <v>8567541527.3100004</v>
          </cell>
        </row>
        <row r="1784">
          <cell r="A1784">
            <v>240130200</v>
          </cell>
          <cell r="B1784" t="str">
            <v>ACCUM. DEPRN - LEASEHOLD IMPROVE</v>
          </cell>
          <cell r="C1784">
            <v>15128389464.860001</v>
          </cell>
          <cell r="D1784">
            <v>0</v>
          </cell>
          <cell r="E1784">
            <v>15128389464.860001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15128389464.860001</v>
          </cell>
          <cell r="T1784">
            <v>15128389464.860001</v>
          </cell>
        </row>
        <row r="1785">
          <cell r="A1785">
            <v>240130300</v>
          </cell>
          <cell r="B1785" t="str">
            <v>ACCUM. DEPRN - PLANT AND EQUIPME</v>
          </cell>
          <cell r="C1785">
            <v>18872732856.869999</v>
          </cell>
          <cell r="D1785">
            <v>0</v>
          </cell>
          <cell r="E1785">
            <v>18872732856.869999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18872732856.869999</v>
          </cell>
          <cell r="T1785">
            <v>18872732856.869999</v>
          </cell>
        </row>
        <row r="1786">
          <cell r="A1786">
            <v>240130400</v>
          </cell>
          <cell r="B1786" t="str">
            <v>ACCUM. DEPRN - OFFICE FURNITURE</v>
          </cell>
          <cell r="C1786">
            <v>3524722816.46</v>
          </cell>
          <cell r="D1786">
            <v>0</v>
          </cell>
          <cell r="E1786">
            <v>3524722816.46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3524722816.46</v>
          </cell>
          <cell r="T1786">
            <v>3524722816.46</v>
          </cell>
        </row>
        <row r="1787">
          <cell r="A1787">
            <v>240130500</v>
          </cell>
          <cell r="B1787" t="str">
            <v>ACCUM. DEPRN - HOUSE FURNITURE</v>
          </cell>
          <cell r="C1787">
            <v>360117871.89999998</v>
          </cell>
          <cell r="D1787">
            <v>0</v>
          </cell>
          <cell r="E1787">
            <v>360117871.89999998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360117871.89999998</v>
          </cell>
          <cell r="T1787">
            <v>360117871.89999998</v>
          </cell>
        </row>
        <row r="1788">
          <cell r="A1788">
            <v>240130600</v>
          </cell>
          <cell r="B1788" t="str">
            <v>ACCUM. DEPRN - MOTOR VEHICLES</v>
          </cell>
          <cell r="C1788">
            <v>4274386681.0999999</v>
          </cell>
          <cell r="D1788">
            <v>0</v>
          </cell>
          <cell r="E1788">
            <v>4274386681.0999999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4274386681.0999999</v>
          </cell>
          <cell r="T1788">
            <v>4274386681.0999999</v>
          </cell>
        </row>
        <row r="1789">
          <cell r="A1789">
            <v>240130700</v>
          </cell>
          <cell r="B1789" t="str">
            <v>ACCUM. DEPRN - INFORMATION TECH</v>
          </cell>
          <cell r="C1789">
            <v>27798099622.700001</v>
          </cell>
          <cell r="D1789">
            <v>0</v>
          </cell>
          <cell r="E1789">
            <v>27798099622.700001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27798099622.700001</v>
          </cell>
          <cell r="T1789">
            <v>27798099622.700001</v>
          </cell>
        </row>
        <row r="1790">
          <cell r="A1790">
            <v>240130800</v>
          </cell>
          <cell r="B1790" t="str">
            <v>ACCUM. DEPRN - INTANGIBLE ASSETS</v>
          </cell>
          <cell r="C1790">
            <v>16517519778.5</v>
          </cell>
          <cell r="D1790">
            <v>0</v>
          </cell>
          <cell r="E1790">
            <v>16517519778.5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16517519778.5</v>
          </cell>
          <cell r="T1790">
            <v>16517519778.5</v>
          </cell>
        </row>
        <row r="1791">
          <cell r="A1791">
            <v>240130900</v>
          </cell>
          <cell r="B1791" t="str">
            <v>IMPAIRMENT ON INTANGIBLES</v>
          </cell>
          <cell r="C1791">
            <v>1516169927.9000001</v>
          </cell>
          <cell r="D1791">
            <v>0</v>
          </cell>
          <cell r="E1791">
            <v>1516169927.9000001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1516169927.9000001</v>
          </cell>
          <cell r="T1791">
            <v>1516169927.9000001</v>
          </cell>
        </row>
        <row r="1792">
          <cell r="A1792">
            <v>240140100</v>
          </cell>
          <cell r="B1792" t="str">
            <v>AMORTISED COST VALUE -LOANS AND</v>
          </cell>
          <cell r="C1792">
            <v>3662164384.23</v>
          </cell>
          <cell r="D1792">
            <v>0</v>
          </cell>
          <cell r="E1792">
            <v>3662164384.23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3662164384.23</v>
          </cell>
          <cell r="T1792">
            <v>-3662164384.23</v>
          </cell>
        </row>
        <row r="1793">
          <cell r="A1793">
            <v>240140200</v>
          </cell>
          <cell r="B1793" t="str">
            <v>SUSPENDED CHARGES</v>
          </cell>
          <cell r="C1793">
            <v>0</v>
          </cell>
          <cell r="D1793">
            <v>0</v>
          </cell>
          <cell r="E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</row>
        <row r="1794">
          <cell r="A1794">
            <v>240140400</v>
          </cell>
          <cell r="B1794" t="str">
            <v>SUSPENDED INTEREST ON LENDINGS</v>
          </cell>
          <cell r="C1794">
            <v>0</v>
          </cell>
          <cell r="D1794">
            <v>0</v>
          </cell>
          <cell r="E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</row>
        <row r="1795">
          <cell r="A1795">
            <v>240150001</v>
          </cell>
          <cell r="B1795" t="str">
            <v>PROV FOR NDIC PREMIUM GL</v>
          </cell>
          <cell r="C1795">
            <v>0</v>
          </cell>
          <cell r="D1795">
            <v>0</v>
          </cell>
          <cell r="E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</row>
        <row r="1796">
          <cell r="A1796">
            <v>240150002</v>
          </cell>
          <cell r="B1796" t="str">
            <v>OTHER PROVISIONS</v>
          </cell>
          <cell r="C1796">
            <v>152817238.84</v>
          </cell>
          <cell r="D1796">
            <v>214196751.31</v>
          </cell>
          <cell r="E1796">
            <v>367013990.14999998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367013990.14999998</v>
          </cell>
          <cell r="T1796">
            <v>367013990.14999998</v>
          </cell>
        </row>
        <row r="1797">
          <cell r="A1797">
            <v>240150003</v>
          </cell>
          <cell r="B1797" t="str">
            <v>PROVISION FOR SUNDRY PAYABLES</v>
          </cell>
          <cell r="C1797">
            <v>1491167289.8499999</v>
          </cell>
          <cell r="D1797">
            <v>0</v>
          </cell>
          <cell r="E1797">
            <v>1491167289.8499999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1491167289.8499999</v>
          </cell>
          <cell r="T1797">
            <v>1491167289.8499999</v>
          </cell>
        </row>
        <row r="1798">
          <cell r="A1798">
            <v>240150005</v>
          </cell>
          <cell r="B1798" t="str">
            <v>PROVISION FOR ADVERT &amp; PROMOTION</v>
          </cell>
          <cell r="C1798">
            <v>0</v>
          </cell>
          <cell r="D1798">
            <v>0</v>
          </cell>
          <cell r="E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</row>
        <row r="1799">
          <cell r="A1799">
            <v>240150006</v>
          </cell>
          <cell r="B1799" t="str">
            <v>PROVISION FOR TELEPHONE</v>
          </cell>
          <cell r="C1799">
            <v>31801.98</v>
          </cell>
          <cell r="D1799">
            <v>0</v>
          </cell>
          <cell r="E1799">
            <v>31801.98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31801.98</v>
          </cell>
          <cell r="T1799">
            <v>31801.98</v>
          </cell>
        </row>
        <row r="1800">
          <cell r="A1800">
            <v>240150007</v>
          </cell>
          <cell r="B1800" t="str">
            <v>PROV FOR SERVICE CONTRACTS (IT)</v>
          </cell>
          <cell r="C1800">
            <v>0</v>
          </cell>
          <cell r="D1800">
            <v>0</v>
          </cell>
          <cell r="E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</row>
        <row r="1801">
          <cell r="A1801">
            <v>240150008</v>
          </cell>
          <cell r="B1801" t="str">
            <v>PROV FOR  PROFESSIONAL FEES   AU</v>
          </cell>
          <cell r="C1801">
            <v>0</v>
          </cell>
          <cell r="D1801">
            <v>0</v>
          </cell>
          <cell r="E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</row>
        <row r="1802">
          <cell r="A1802">
            <v>240150009</v>
          </cell>
          <cell r="B1802" t="str">
            <v>PROV FOR AUDIT FEES</v>
          </cell>
          <cell r="C1802">
            <v>421041666.56999999</v>
          </cell>
          <cell r="D1802">
            <v>0</v>
          </cell>
          <cell r="E1802">
            <v>421041666.56999999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421041666.56999999</v>
          </cell>
          <cell r="T1802">
            <v>421041666.56999999</v>
          </cell>
        </row>
        <row r="1803">
          <cell r="A1803">
            <v>240150010</v>
          </cell>
          <cell r="B1803" t="str">
            <v>PROV PROF FEES   CONSULTANTS</v>
          </cell>
          <cell r="C1803">
            <v>121298550.34999999</v>
          </cell>
          <cell r="D1803">
            <v>0</v>
          </cell>
          <cell r="E1803">
            <v>121298550.34999999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121298550.34999999</v>
          </cell>
          <cell r="T1803">
            <v>121298550.34999999</v>
          </cell>
        </row>
        <row r="1804">
          <cell r="A1804">
            <v>240150011</v>
          </cell>
          <cell r="B1804" t="str">
            <v>PROVISION FOR CBN LEVY-RESOLUTIO</v>
          </cell>
          <cell r="C1804">
            <v>6683711074.3400002</v>
          </cell>
          <cell r="D1804">
            <v>0</v>
          </cell>
          <cell r="E1804">
            <v>6683711074.3400002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6683711074.3400002</v>
          </cell>
          <cell r="T1804">
            <v>6683711074.3400002</v>
          </cell>
        </row>
        <row r="1805">
          <cell r="A1805">
            <v>240150012</v>
          </cell>
          <cell r="B1805" t="str">
            <v>PROVISION FOR AMCON SINKING FUND</v>
          </cell>
          <cell r="C1805">
            <v>1004802048.51</v>
          </cell>
          <cell r="D1805">
            <v>0</v>
          </cell>
          <cell r="E1805">
            <v>1004802048.51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1004802048.51</v>
          </cell>
          <cell r="T1805">
            <v>1004802048.51</v>
          </cell>
        </row>
        <row r="1806">
          <cell r="A1806">
            <v>240150013</v>
          </cell>
          <cell r="B1806" t="str">
            <v>PROV FOR END OF YEAR ACTIVITY ST</v>
          </cell>
          <cell r="C1806">
            <v>1575388.77</v>
          </cell>
          <cell r="D1806">
            <v>0</v>
          </cell>
          <cell r="E1806">
            <v>1575388.77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1575388.77</v>
          </cell>
          <cell r="T1806">
            <v>1575388.77</v>
          </cell>
        </row>
        <row r="1807">
          <cell r="A1807">
            <v>240150014</v>
          </cell>
          <cell r="B1807" t="str">
            <v>PROV END OF YEAR ACTIVITY  CORP</v>
          </cell>
          <cell r="C1807">
            <v>923463957.5</v>
          </cell>
          <cell r="D1807">
            <v>0</v>
          </cell>
          <cell r="E1807">
            <v>923463957.5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923463957.5</v>
          </cell>
          <cell r="T1807">
            <v>923463957.5</v>
          </cell>
        </row>
        <row r="1808">
          <cell r="A1808">
            <v>240150015</v>
          </cell>
          <cell r="B1808" t="str">
            <v>PROVISION ON CREDIT CARDS</v>
          </cell>
          <cell r="C1808">
            <v>0</v>
          </cell>
          <cell r="D1808">
            <v>0</v>
          </cell>
          <cell r="E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</row>
        <row r="1809">
          <cell r="A1809">
            <v>240150016</v>
          </cell>
          <cell r="B1809" t="str">
            <v>PROV-QUARTERLY PROVISION</v>
          </cell>
          <cell r="C1809">
            <v>11133296.560000001</v>
          </cell>
          <cell r="D1809">
            <v>0</v>
          </cell>
          <cell r="E1809">
            <v>11133296.560000001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11133296.560000001</v>
          </cell>
          <cell r="T1809">
            <v>11133296.560000001</v>
          </cell>
        </row>
        <row r="1810">
          <cell r="A1810">
            <v>240150017</v>
          </cell>
          <cell r="B1810" t="str">
            <v>PROV FOR PUBLIC RELATIONS</v>
          </cell>
          <cell r="C1810">
            <v>0</v>
          </cell>
          <cell r="D1810">
            <v>0</v>
          </cell>
          <cell r="E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</row>
        <row r="1811">
          <cell r="A1811">
            <v>240150018</v>
          </cell>
          <cell r="B1811" t="str">
            <v>PROVISIONS - INSURANCE PREMIUM</v>
          </cell>
          <cell r="C1811">
            <v>0</v>
          </cell>
          <cell r="D1811">
            <v>0</v>
          </cell>
          <cell r="E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</row>
        <row r="1812">
          <cell r="A1812">
            <v>240150020</v>
          </cell>
          <cell r="B1812" t="str">
            <v>PROVISION FOR LEAVE ALLOWANCE</v>
          </cell>
          <cell r="C1812">
            <v>138557910.5</v>
          </cell>
          <cell r="D1812">
            <v>0</v>
          </cell>
          <cell r="E1812">
            <v>138557910.5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138557910.5</v>
          </cell>
          <cell r="T1812">
            <v>138557910.5</v>
          </cell>
        </row>
        <row r="1813">
          <cell r="A1813">
            <v>240150021</v>
          </cell>
          <cell r="B1813" t="str">
            <v>PROVISION FOR 13TH MONTH</v>
          </cell>
          <cell r="C1813">
            <v>312345295.67000002</v>
          </cell>
          <cell r="D1813">
            <v>0</v>
          </cell>
          <cell r="E1813">
            <v>312345295.67000002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312345295.67000002</v>
          </cell>
          <cell r="T1813">
            <v>312345295.67000002</v>
          </cell>
        </row>
        <row r="1814">
          <cell r="A1814">
            <v>240150023</v>
          </cell>
          <cell r="B1814" t="str">
            <v>PROVISION-PAY FOR PERFORMANCE/ B</v>
          </cell>
          <cell r="C1814">
            <v>5471992633.5600004</v>
          </cell>
          <cell r="D1814">
            <v>0</v>
          </cell>
          <cell r="E1814">
            <v>5471992633.5600004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5471992633.5600004</v>
          </cell>
          <cell r="T1814">
            <v>5471992633.5600004</v>
          </cell>
        </row>
        <row r="1815">
          <cell r="A1815">
            <v>240150024</v>
          </cell>
          <cell r="B1815" t="str">
            <v>IMPAIRMENT ON ASSET HELD FOR SAL</v>
          </cell>
          <cell r="C1815">
            <v>499877444.69999999</v>
          </cell>
          <cell r="D1815">
            <v>0</v>
          </cell>
          <cell r="E1815">
            <v>499877444.69999999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499877444.69999999</v>
          </cell>
          <cell r="T1815">
            <v>-499877444.69999999</v>
          </cell>
        </row>
        <row r="1816">
          <cell r="A1816">
            <v>240150025</v>
          </cell>
          <cell r="B1816" t="str">
            <v>PROVISION-BIRTHDAY BENEFITS</v>
          </cell>
          <cell r="C1816">
            <v>0</v>
          </cell>
          <cell r="D1816">
            <v>0</v>
          </cell>
          <cell r="E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</row>
        <row r="1817">
          <cell r="A1817">
            <v>240150027</v>
          </cell>
          <cell r="B1817" t="str">
            <v>PROVISION-STAFF  GRATUITY</v>
          </cell>
          <cell r="C1817">
            <v>1344340143.3599999</v>
          </cell>
          <cell r="D1817">
            <v>0</v>
          </cell>
          <cell r="E1817">
            <v>1344340143.3599999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1344340143.3599999</v>
          </cell>
          <cell r="T1817">
            <v>1344340143.3599999</v>
          </cell>
        </row>
        <row r="1818">
          <cell r="A1818">
            <v>240150028</v>
          </cell>
          <cell r="B1818" t="str">
            <v>PROV. FOR OTHER LOSSES</v>
          </cell>
          <cell r="C1818">
            <v>4431122894.8400002</v>
          </cell>
          <cell r="D1818">
            <v>4040506293.73</v>
          </cell>
          <cell r="E1818">
            <v>8471629188.5699997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8471629188.5699997</v>
          </cell>
          <cell r="T1818">
            <v>8471629188.5699997</v>
          </cell>
        </row>
        <row r="1819">
          <cell r="A1819">
            <v>240150030</v>
          </cell>
          <cell r="B1819" t="str">
            <v>PROV.FOR DIMUNITION IN INVESTMEN</v>
          </cell>
          <cell r="C1819">
            <v>435464889.04000002</v>
          </cell>
          <cell r="D1819">
            <v>0</v>
          </cell>
          <cell r="E1819">
            <v>435464889.04000002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435464889.04000002</v>
          </cell>
          <cell r="T1819">
            <v>435464889.04000002</v>
          </cell>
        </row>
        <row r="1820">
          <cell r="A1820">
            <v>240150032</v>
          </cell>
          <cell r="B1820" t="str">
            <v>A/C PAYABLE LEGAL CHARGES</v>
          </cell>
          <cell r="C1820">
            <v>119934571.26000001</v>
          </cell>
          <cell r="D1820">
            <v>5828226.5999999996</v>
          </cell>
          <cell r="E1820">
            <v>125762797.86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125762797.86</v>
          </cell>
          <cell r="T1820">
            <v>125762797.86</v>
          </cell>
        </row>
        <row r="1821">
          <cell r="A1821">
            <v>240150033</v>
          </cell>
          <cell r="B1821" t="str">
            <v>PROVISION FOR FRAUD &amp; FORGERY</v>
          </cell>
          <cell r="C1821">
            <v>0</v>
          </cell>
          <cell r="D1821">
            <v>0</v>
          </cell>
          <cell r="E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</row>
        <row r="1822">
          <cell r="A1822">
            <v>240150036</v>
          </cell>
          <cell r="B1822" t="str">
            <v>PROVISION FOR OTHER ASSETS</v>
          </cell>
          <cell r="C1822">
            <v>487388098.69</v>
          </cell>
          <cell r="D1822">
            <v>0</v>
          </cell>
          <cell r="E1822">
            <v>487388098.69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487388098.69</v>
          </cell>
          <cell r="T1822">
            <v>487388098.69</v>
          </cell>
        </row>
        <row r="1823">
          <cell r="A1823">
            <v>240150037</v>
          </cell>
          <cell r="B1823" t="str">
            <v>PROVISION - OTHERS</v>
          </cell>
          <cell r="C1823">
            <v>7701806286.4300003</v>
          </cell>
          <cell r="D1823">
            <v>0</v>
          </cell>
          <cell r="E1823">
            <v>7701806286.4300003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7701806286.4300003</v>
          </cell>
          <cell r="T1823">
            <v>7701806286.4300003</v>
          </cell>
        </row>
        <row r="1824">
          <cell r="A1824">
            <v>240150038</v>
          </cell>
          <cell r="B1824" t="str">
            <v>PROVISION FOR INVESTMENT IN SUBS</v>
          </cell>
          <cell r="C1824">
            <v>0</v>
          </cell>
          <cell r="D1824">
            <v>0</v>
          </cell>
          <cell r="E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</row>
        <row r="1825">
          <cell r="A1825">
            <v>240150040</v>
          </cell>
          <cell r="B1825" t="str">
            <v>IMP. ON OTHER FINANCIAL ASSETS</v>
          </cell>
          <cell r="C1825">
            <v>266015561</v>
          </cell>
          <cell r="D1825">
            <v>0</v>
          </cell>
          <cell r="E1825">
            <v>266015561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266015561</v>
          </cell>
          <cell r="T1825">
            <v>266015561</v>
          </cell>
        </row>
        <row r="1826">
          <cell r="A1826">
            <v>240150041</v>
          </cell>
          <cell r="B1826" t="str">
            <v>PROV- QUARTERLY ALLOWANCE BAs</v>
          </cell>
          <cell r="C1826">
            <v>0</v>
          </cell>
          <cell r="D1826">
            <v>0</v>
          </cell>
          <cell r="E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</row>
        <row r="1827">
          <cell r="A1827" t="str">
            <v>_x0012_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</row>
        <row r="1828"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</row>
        <row r="1829">
          <cell r="C1829" t="str">
            <v>Polaris Bank Limited, N</v>
          </cell>
          <cell r="D1829" t="str">
            <v>igeria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</row>
        <row r="1830">
          <cell r="C1830" t="str">
            <v>** Consolidated Balance Shee</v>
          </cell>
          <cell r="D1830" t="str">
            <v>t CBN **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</row>
        <row r="1831"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</row>
        <row r="1832">
          <cell r="C1832" t="str">
            <v>As on :     31-OCT-2025</v>
          </cell>
          <cell r="E1832" t="str">
            <v>Page   :   33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</row>
        <row r="1833"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</row>
        <row r="1834">
          <cell r="A1834" t="str">
            <v>User Id :</v>
          </cell>
          <cell r="B1834" t="str">
            <v>SYSTEM</v>
          </cell>
          <cell r="C1834" t="str">
            <v>Date 1 Time :     01-NOV-2025</v>
          </cell>
          <cell r="D1834">
            <v>0.21625000000000003</v>
          </cell>
          <cell r="E1834" t="str">
            <v>Module :   GL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</row>
        <row r="1835">
          <cell r="A1835" t="str">
            <v>----------</v>
          </cell>
          <cell r="B1835" t="str">
            <v>----------------------------------------</v>
          </cell>
          <cell r="C1835" t="str">
            <v>------------------------------</v>
          </cell>
          <cell r="D1835" t="str">
            <v>------------------------------</v>
          </cell>
          <cell r="E1835" t="str">
            <v>----------------------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</row>
        <row r="1836">
          <cell r="A1836" t="str">
            <v>GL Code</v>
          </cell>
          <cell r="B1836" t="str">
            <v>Description</v>
          </cell>
          <cell r="C1836" t="str">
            <v>LCY Amount</v>
          </cell>
          <cell r="D1836" t="str">
            <v>FCY Amount (Lcy Eq)</v>
          </cell>
          <cell r="E1836" t="str">
            <v>Total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</row>
        <row r="1837"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</row>
        <row r="1838">
          <cell r="A1838" t="str">
            <v>----------</v>
          </cell>
          <cell r="B1838" t="str">
            <v>----------------------------------------</v>
          </cell>
          <cell r="C1838" t="str">
            <v>------------------------------</v>
          </cell>
          <cell r="D1838" t="str">
            <v>------------------------------</v>
          </cell>
          <cell r="E1838" t="str">
            <v>----------------------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</row>
        <row r="1839">
          <cell r="A1839" t="str">
            <v>Liability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</row>
        <row r="1840"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</row>
        <row r="1841">
          <cell r="A1841">
            <v>240160100</v>
          </cell>
          <cell r="B1841" t="str">
            <v>PROV. LUMP-SUM IMPAIRMENT (IFRS)</v>
          </cell>
          <cell r="C1841">
            <v>0</v>
          </cell>
          <cell r="D1841">
            <v>0</v>
          </cell>
          <cell r="E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</row>
        <row r="1842">
          <cell r="A1842">
            <v>240160200</v>
          </cell>
          <cell r="B1842" t="str">
            <v>PROV. SPECIFIC IMPAIRMENT (IFRS)</v>
          </cell>
          <cell r="C1842">
            <v>0</v>
          </cell>
          <cell r="D1842">
            <v>0</v>
          </cell>
          <cell r="E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</row>
        <row r="1843">
          <cell r="A1843">
            <v>240160300</v>
          </cell>
          <cell r="B1843" t="str">
            <v>PROV. COLLECTIVE IMPAIRMENT (IFR</v>
          </cell>
          <cell r="C1843">
            <v>0</v>
          </cell>
          <cell r="D1843">
            <v>0</v>
          </cell>
          <cell r="E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</row>
        <row r="1844">
          <cell r="A1844">
            <v>240160301</v>
          </cell>
          <cell r="B1844" t="str">
            <v>STAGE 1 ECL LOANS</v>
          </cell>
          <cell r="C1844">
            <v>39902429379.230003</v>
          </cell>
          <cell r="D1844">
            <v>878935429.69000006</v>
          </cell>
          <cell r="E1844">
            <v>40781364808.919998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40781364808.919998</v>
          </cell>
          <cell r="T1844">
            <v>40781364808.919998</v>
          </cell>
        </row>
        <row r="1845">
          <cell r="A1845">
            <v>240160302</v>
          </cell>
          <cell r="B1845" t="str">
            <v>STAGE 2 ECL LOANS</v>
          </cell>
          <cell r="C1845">
            <v>4241798944.4899998</v>
          </cell>
          <cell r="D1845">
            <v>6889596.1200000001</v>
          </cell>
          <cell r="E1845">
            <v>4248688540.6100001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4248688540.6100001</v>
          </cell>
          <cell r="T1845">
            <v>4248688540.6100001</v>
          </cell>
        </row>
        <row r="1846">
          <cell r="A1846">
            <v>240160303</v>
          </cell>
          <cell r="B1846" t="str">
            <v>STAGE 3 ECL LOANS</v>
          </cell>
          <cell r="C1846">
            <v>17154138919.23</v>
          </cell>
          <cell r="D1846">
            <v>-833296.12</v>
          </cell>
          <cell r="E1846">
            <v>17153305623.110001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1771503488.0299997</v>
          </cell>
          <cell r="P1846">
            <v>0</v>
          </cell>
          <cell r="Q1846">
            <v>0</v>
          </cell>
          <cell r="R1846">
            <v>0</v>
          </cell>
          <cell r="S1846">
            <v>18924809111.139999</v>
          </cell>
          <cell r="T1846">
            <v>18924809111.139999</v>
          </cell>
        </row>
        <row r="1847">
          <cell r="A1847">
            <v>240160304</v>
          </cell>
          <cell r="B1847" t="str">
            <v>STAGE 1 ECL DEBT SEC TREASURY BI</v>
          </cell>
          <cell r="C1847">
            <v>976238939.22000003</v>
          </cell>
          <cell r="D1847">
            <v>0</v>
          </cell>
          <cell r="E1847">
            <v>976238939.22000003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976238939.22000003</v>
          </cell>
          <cell r="T1847">
            <v>976238939.22000003</v>
          </cell>
        </row>
        <row r="1848">
          <cell r="A1848">
            <v>240160305</v>
          </cell>
          <cell r="B1848" t="str">
            <v>STAGE 2 ECL DEBT SEC CORP BONDS</v>
          </cell>
          <cell r="C1848">
            <v>0</v>
          </cell>
          <cell r="D1848">
            <v>0</v>
          </cell>
          <cell r="E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</row>
        <row r="1849">
          <cell r="A1849">
            <v>240160306</v>
          </cell>
          <cell r="B1849" t="str">
            <v>STAGE 3 ECL DEBT SEC</v>
          </cell>
          <cell r="C1849">
            <v>1327057627.0599999</v>
          </cell>
          <cell r="D1849">
            <v>0</v>
          </cell>
          <cell r="E1849">
            <v>1327057627.0599999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1327057627.0599999</v>
          </cell>
          <cell r="T1849">
            <v>1327057627.0599999</v>
          </cell>
        </row>
        <row r="1850">
          <cell r="A1850">
            <v>240160307</v>
          </cell>
          <cell r="B1850" t="str">
            <v>STAGE 1 ECL DEBT SEC STATE GOV B</v>
          </cell>
          <cell r="C1850">
            <v>704279594.20000005</v>
          </cell>
          <cell r="D1850">
            <v>0</v>
          </cell>
          <cell r="E1850">
            <v>704279594.20000005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704279594.20000005</v>
          </cell>
          <cell r="T1850">
            <v>704279594.20000005</v>
          </cell>
        </row>
        <row r="1851">
          <cell r="A1851">
            <v>240160309</v>
          </cell>
          <cell r="B1851" t="str">
            <v>STAGE 1 ECL DEBT SEC CORP BONDS</v>
          </cell>
          <cell r="C1851">
            <v>140129202.30000001</v>
          </cell>
          <cell r="D1851">
            <v>0</v>
          </cell>
          <cell r="E1851">
            <v>140129202.30000001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140129202.30000001</v>
          </cell>
          <cell r="T1851">
            <v>140129202.30000001</v>
          </cell>
        </row>
        <row r="1852">
          <cell r="A1852">
            <v>240160310</v>
          </cell>
          <cell r="B1852" t="str">
            <v>STAGE 2 ECL DEBT SEC TREASURY BI</v>
          </cell>
          <cell r="C1852">
            <v>0</v>
          </cell>
          <cell r="D1852">
            <v>0</v>
          </cell>
          <cell r="E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</row>
        <row r="1853">
          <cell r="A1853">
            <v>240160311</v>
          </cell>
          <cell r="B1853" t="str">
            <v>STAGE 3 ECL DEBT SEC EURO BONDS</v>
          </cell>
          <cell r="C1853">
            <v>0</v>
          </cell>
          <cell r="D1853">
            <v>4692911057.21</v>
          </cell>
          <cell r="E1853">
            <v>4692911057.21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4692911057.21</v>
          </cell>
          <cell r="T1853">
            <v>4692911057.21</v>
          </cell>
        </row>
        <row r="1854">
          <cell r="A1854">
            <v>240160312</v>
          </cell>
          <cell r="B1854" t="str">
            <v>STAGE 1 ECL DEBT SEC EURO BONDS</v>
          </cell>
          <cell r="C1854">
            <v>0</v>
          </cell>
          <cell r="D1854">
            <v>19598127.300000001</v>
          </cell>
          <cell r="E1854">
            <v>19598127.300000001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19598127.300000001</v>
          </cell>
          <cell r="T1854">
            <v>19598127.300000001</v>
          </cell>
        </row>
        <row r="1855">
          <cell r="A1855">
            <v>240160313</v>
          </cell>
          <cell r="B1855" t="str">
            <v>OFF BALANC SHEET ECL ALLOWANCE</v>
          </cell>
          <cell r="C1855">
            <v>11377684482.15</v>
          </cell>
          <cell r="D1855">
            <v>0</v>
          </cell>
          <cell r="E1855">
            <v>11377684482.15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11377684482.15</v>
          </cell>
          <cell r="T1855">
            <v>11377684482.15</v>
          </cell>
        </row>
        <row r="1856">
          <cell r="A1856">
            <v>240160314</v>
          </cell>
          <cell r="B1856" t="str">
            <v>IMPAIREMENT ON ASSOCIATES</v>
          </cell>
          <cell r="C1856">
            <v>49000000</v>
          </cell>
          <cell r="D1856">
            <v>0</v>
          </cell>
          <cell r="E1856">
            <v>49000000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49000000</v>
          </cell>
          <cell r="T1856">
            <v>49000000</v>
          </cell>
        </row>
        <row r="1857">
          <cell r="A1857">
            <v>240160315</v>
          </cell>
          <cell r="B1857" t="str">
            <v>IMPAIRMENT ON P.P.E</v>
          </cell>
          <cell r="C1857">
            <v>2058314999.6400001</v>
          </cell>
          <cell r="D1857">
            <v>0</v>
          </cell>
          <cell r="E1857">
            <v>2058314999.6400001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2058314999.6400001</v>
          </cell>
          <cell r="T1857">
            <v>2058314999.6400001</v>
          </cell>
        </row>
        <row r="1858">
          <cell r="A1858">
            <v>240160316</v>
          </cell>
          <cell r="B1858" t="str">
            <v>STAGE 1 ECL ON PLACEMENT</v>
          </cell>
          <cell r="C1858">
            <v>122265409.12</v>
          </cell>
          <cell r="D1858">
            <v>0</v>
          </cell>
          <cell r="E1858">
            <v>122265409.12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122265409.12</v>
          </cell>
          <cell r="T1858">
            <v>-122265409.12</v>
          </cell>
        </row>
        <row r="1859">
          <cell r="A1859">
            <v>240160317</v>
          </cell>
          <cell r="B1859" t="str">
            <v>STAGE 2 ECL ON PLACEMENT</v>
          </cell>
          <cell r="C1859">
            <v>0</v>
          </cell>
          <cell r="D1859">
            <v>0</v>
          </cell>
          <cell r="E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</row>
        <row r="1860">
          <cell r="A1860">
            <v>240160318</v>
          </cell>
          <cell r="B1860" t="str">
            <v>STAGE 1 ECL ON PLEDGED TREASURY</v>
          </cell>
          <cell r="C1860">
            <v>42179487.490000002</v>
          </cell>
          <cell r="D1860">
            <v>0</v>
          </cell>
          <cell r="E1860">
            <v>42179487.490000002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42179487.490000002</v>
          </cell>
          <cell r="T1860">
            <v>-42179487.490000002</v>
          </cell>
        </row>
        <row r="1861">
          <cell r="A1861">
            <v>240160320</v>
          </cell>
          <cell r="B1861" t="str">
            <v>STAGE 1 ECL DEBT SEC COMMERCIAL</v>
          </cell>
          <cell r="C1861">
            <v>0</v>
          </cell>
          <cell r="D1861">
            <v>0</v>
          </cell>
          <cell r="E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</row>
        <row r="1862">
          <cell r="A1862">
            <v>240160321</v>
          </cell>
          <cell r="B1862" t="str">
            <v>STAGE 2 ECL DEBT SEC COMMERCIAL</v>
          </cell>
          <cell r="C1862">
            <v>0</v>
          </cell>
          <cell r="D1862">
            <v>0</v>
          </cell>
          <cell r="E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</row>
        <row r="1863">
          <cell r="A1863">
            <v>240160322</v>
          </cell>
          <cell r="B1863" t="str">
            <v>STAGE 1 ECL DEBT SEC PROMISSORY</v>
          </cell>
          <cell r="C1863">
            <v>37449580.390000001</v>
          </cell>
          <cell r="D1863">
            <v>0</v>
          </cell>
          <cell r="E1863">
            <v>37449580.390000001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37449580.390000001</v>
          </cell>
          <cell r="T1863">
            <v>37449580.390000001</v>
          </cell>
        </row>
        <row r="1864">
          <cell r="A1864">
            <v>240160324</v>
          </cell>
          <cell r="B1864" t="str">
            <v>STAGE 1 ECL DEBT SEC FGN BONDS</v>
          </cell>
          <cell r="C1864">
            <v>1321014568.8399999</v>
          </cell>
          <cell r="D1864">
            <v>0</v>
          </cell>
          <cell r="E1864">
            <v>1321014568.8399999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1321014568.8399999</v>
          </cell>
          <cell r="T1864">
            <v>1321014568.8399999</v>
          </cell>
        </row>
        <row r="1865">
          <cell r="A1865">
            <v>240160325</v>
          </cell>
          <cell r="B1865" t="str">
            <v>STAGE 2 ECL DEBT SEC FGN BONDS</v>
          </cell>
          <cell r="C1865">
            <v>0</v>
          </cell>
          <cell r="D1865">
            <v>0</v>
          </cell>
          <cell r="E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</row>
        <row r="1866">
          <cell r="A1866">
            <v>240160326</v>
          </cell>
          <cell r="B1866" t="str">
            <v>STAGE 1 ECL ON PLEDGED FGN BONDS</v>
          </cell>
          <cell r="C1866">
            <v>261038800.40000001</v>
          </cell>
          <cell r="D1866">
            <v>0</v>
          </cell>
          <cell r="E1866">
            <v>261038800.40000001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261038800.40000001</v>
          </cell>
          <cell r="T1866">
            <v>-261038800.40000001</v>
          </cell>
        </row>
        <row r="1867">
          <cell r="A1867">
            <v>240160400</v>
          </cell>
          <cell r="B1867" t="str">
            <v>PROV - NONPER</v>
          </cell>
          <cell r="C1867">
            <v>0</v>
          </cell>
          <cell r="D1867">
            <v>0</v>
          </cell>
          <cell r="E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</row>
        <row r="1868">
          <cell r="A1868">
            <v>240180100</v>
          </cell>
          <cell r="B1868" t="str">
            <v>INT. IN SUSP.   TERM LOANS</v>
          </cell>
          <cell r="C1868">
            <v>-1211955961.5999999</v>
          </cell>
          <cell r="D1868">
            <v>1544874.1</v>
          </cell>
          <cell r="E1868">
            <v>-1210411087.5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1210411087.5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</row>
        <row r="1869">
          <cell r="A1869">
            <v>240180200</v>
          </cell>
          <cell r="B1869" t="str">
            <v>INT. IN SUSP.   OVERDRAFT</v>
          </cell>
          <cell r="C1869">
            <v>1485658317.6500001</v>
          </cell>
          <cell r="D1869">
            <v>271519.94</v>
          </cell>
          <cell r="E1869">
            <v>1485929837.5899999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-1485929837.5899999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</row>
        <row r="1870">
          <cell r="A1870">
            <v>240180300</v>
          </cell>
          <cell r="B1870" t="str">
            <v>INT. IN SUSP.  ADV UNDER LEASE</v>
          </cell>
          <cell r="C1870">
            <v>0</v>
          </cell>
          <cell r="D1870">
            <v>0</v>
          </cell>
          <cell r="E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</row>
        <row r="1871">
          <cell r="A1871">
            <v>240190001</v>
          </cell>
          <cell r="B1871" t="str">
            <v>OTHER CORPORATE A/CS</v>
          </cell>
          <cell r="C1871">
            <v>0</v>
          </cell>
          <cell r="D1871">
            <v>0</v>
          </cell>
          <cell r="E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</row>
        <row r="1872">
          <cell r="A1872">
            <v>240190002</v>
          </cell>
          <cell r="B1872" t="str">
            <v>DORMANT C/A</v>
          </cell>
          <cell r="C1872">
            <v>1095094536.22</v>
          </cell>
          <cell r="D1872">
            <v>-639755600.84000003</v>
          </cell>
          <cell r="E1872">
            <v>455338935.38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455338935.38</v>
          </cell>
          <cell r="T1872">
            <v>455338935.38</v>
          </cell>
        </row>
        <row r="1873">
          <cell r="A1873">
            <v>240190003</v>
          </cell>
          <cell r="B1873" t="str">
            <v>BRANCH BDC POSITION A/C</v>
          </cell>
          <cell r="C1873">
            <v>0</v>
          </cell>
          <cell r="D1873">
            <v>0</v>
          </cell>
          <cell r="E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</row>
        <row r="1874">
          <cell r="A1874">
            <v>240190005</v>
          </cell>
          <cell r="B1874" t="str">
            <v>CALL TAKINGS (IND. &amp; CORP. ORGNS</v>
          </cell>
          <cell r="C1874">
            <v>2022118804.1199999</v>
          </cell>
          <cell r="D1874">
            <v>0</v>
          </cell>
          <cell r="E1874">
            <v>2022118804.1199999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2022118804.1199999</v>
          </cell>
          <cell r="T1874">
            <v>2022118804.1199999</v>
          </cell>
        </row>
        <row r="1875">
          <cell r="A1875">
            <v>240190006</v>
          </cell>
          <cell r="B1875" t="str">
            <v>CONVERSION GL POLARIS - TDS</v>
          </cell>
          <cell r="C1875">
            <v>0</v>
          </cell>
          <cell r="D1875">
            <v>0</v>
          </cell>
          <cell r="E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</row>
        <row r="1876">
          <cell r="A1876">
            <v>240190010</v>
          </cell>
          <cell r="B1876" t="str">
            <v>SUNDRY -CLOSED ACCOUNTS</v>
          </cell>
          <cell r="C1876">
            <v>687151577.22000003</v>
          </cell>
          <cell r="D1876">
            <v>-18607248.600000001</v>
          </cell>
          <cell r="E1876">
            <v>668544328.62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668544328.62</v>
          </cell>
          <cell r="T1876">
            <v>668544328.62</v>
          </cell>
        </row>
        <row r="1877">
          <cell r="A1877">
            <v>240190011</v>
          </cell>
          <cell r="B1877" t="str">
            <v>MATURED FIXED DEPOSITS A/C - 006</v>
          </cell>
          <cell r="C1877">
            <v>172420148.94999999</v>
          </cell>
          <cell r="D1877">
            <v>10883874.16</v>
          </cell>
          <cell r="E1877">
            <v>183304023.11000001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183304023.11000001</v>
          </cell>
          <cell r="T1877">
            <v>183304023.11000001</v>
          </cell>
        </row>
        <row r="1878">
          <cell r="A1878">
            <v>240190012</v>
          </cell>
          <cell r="B1878" t="str">
            <v>REDM PAYABLE GL TERM DEPOSITS</v>
          </cell>
          <cell r="C1878">
            <v>0</v>
          </cell>
          <cell r="D1878">
            <v>0</v>
          </cell>
          <cell r="E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</row>
        <row r="1879">
          <cell r="A1879">
            <v>240190013</v>
          </cell>
          <cell r="B1879" t="str">
            <v>PAYOUT   TERM DEPOSITS   006</v>
          </cell>
          <cell r="C1879">
            <v>1346.62</v>
          </cell>
          <cell r="D1879">
            <v>0</v>
          </cell>
          <cell r="E1879">
            <v>1346.62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1346.62</v>
          </cell>
          <cell r="T1879">
            <v>1346.62</v>
          </cell>
        </row>
        <row r="1880">
          <cell r="A1880">
            <v>240190014</v>
          </cell>
          <cell r="B1880" t="str">
            <v>ACC INT. PAYABLE   DEMAND DEPOSI</v>
          </cell>
          <cell r="C1880">
            <v>180080.2</v>
          </cell>
          <cell r="D1880">
            <v>0</v>
          </cell>
          <cell r="E1880">
            <v>180080.2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180080.2</v>
          </cell>
          <cell r="T1880">
            <v>180080.2</v>
          </cell>
        </row>
        <row r="1881">
          <cell r="A1881">
            <v>240190015</v>
          </cell>
          <cell r="B1881" t="str">
            <v>PAYABLE CORPORATE TRANSACTIONS</v>
          </cell>
          <cell r="C1881">
            <v>0</v>
          </cell>
          <cell r="D1881">
            <v>0</v>
          </cell>
          <cell r="E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</row>
        <row r="1882">
          <cell r="A1882">
            <v>240190016</v>
          </cell>
          <cell r="B1882" t="str">
            <v>ACC INT. PAYABLE DOM A/C CORPORA</v>
          </cell>
          <cell r="C1882">
            <v>16829.27</v>
          </cell>
          <cell r="D1882">
            <v>135563091.09</v>
          </cell>
          <cell r="E1882">
            <v>135579920.36000001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135579920.36000001</v>
          </cell>
          <cell r="T1882">
            <v>135579920.36000001</v>
          </cell>
        </row>
        <row r="1883">
          <cell r="A1883">
            <v>240190017</v>
          </cell>
          <cell r="B1883" t="str">
            <v>ACC INT. PAYABLE DOM A/C INDIVID</v>
          </cell>
          <cell r="C1883">
            <v>0</v>
          </cell>
          <cell r="D1883">
            <v>44521966.049999997</v>
          </cell>
          <cell r="E1883">
            <v>44521966.049999997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44521966.049999997</v>
          </cell>
          <cell r="T1883">
            <v>44521966.049999997</v>
          </cell>
        </row>
        <row r="1884">
          <cell r="A1884">
            <v>240190018</v>
          </cell>
          <cell r="B1884" t="str">
            <v>ACC INT. PAYABLE DOM A/C PUBLIC</v>
          </cell>
          <cell r="C1884">
            <v>0</v>
          </cell>
          <cell r="D1884">
            <v>2750130.04</v>
          </cell>
          <cell r="E1884">
            <v>2750130.04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2750130.04</v>
          </cell>
          <cell r="T1884">
            <v>2750130.04</v>
          </cell>
        </row>
        <row r="1885">
          <cell r="A1885" t="str">
            <v>_x0012_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</row>
        <row r="1886"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</row>
        <row r="1887">
          <cell r="C1887" t="str">
            <v>Polaris Bank Limited, N</v>
          </cell>
          <cell r="D1887" t="str">
            <v>igeria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</row>
        <row r="1888">
          <cell r="C1888" t="str">
            <v>** Consolidated Balance Shee</v>
          </cell>
          <cell r="D1888" t="str">
            <v>t CBN **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</row>
        <row r="1889"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</row>
        <row r="1890">
          <cell r="C1890" t="str">
            <v>As on :     31-OCT-2025</v>
          </cell>
          <cell r="E1890" t="str">
            <v>Page   :   34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</row>
        <row r="1891"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</row>
        <row r="1892">
          <cell r="A1892" t="str">
            <v>User Id :</v>
          </cell>
          <cell r="B1892" t="str">
            <v>SYSTEM</v>
          </cell>
          <cell r="C1892" t="str">
            <v>Date 1 Time :     01-NOV-2025</v>
          </cell>
          <cell r="D1892">
            <v>0.21625000000000003</v>
          </cell>
          <cell r="E1892" t="str">
            <v>Module :   GL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</row>
        <row r="1893">
          <cell r="A1893" t="str">
            <v>----------</v>
          </cell>
          <cell r="B1893" t="str">
            <v>----------------------------------------</v>
          </cell>
          <cell r="C1893" t="str">
            <v>------------------------------</v>
          </cell>
          <cell r="D1893" t="str">
            <v>------------------------------</v>
          </cell>
          <cell r="E1893" t="str">
            <v>----------------------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</row>
        <row r="1894">
          <cell r="A1894" t="str">
            <v>GL Code</v>
          </cell>
          <cell r="B1894" t="str">
            <v>Description</v>
          </cell>
          <cell r="C1894" t="str">
            <v>LCY Amount</v>
          </cell>
          <cell r="D1894" t="str">
            <v>FCY Amount (Lcy Eq)</v>
          </cell>
          <cell r="E1894" t="str">
            <v>Total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</row>
        <row r="1895"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</row>
        <row r="1896">
          <cell r="A1896" t="str">
            <v>----------</v>
          </cell>
          <cell r="B1896" t="str">
            <v>----------------------------------------</v>
          </cell>
          <cell r="C1896" t="str">
            <v>------------------------------</v>
          </cell>
          <cell r="D1896" t="str">
            <v>------------------------------</v>
          </cell>
          <cell r="E1896" t="str">
            <v>----------------------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</row>
        <row r="1897">
          <cell r="A1897" t="str">
            <v>Liability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</row>
        <row r="1898"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</row>
        <row r="1899">
          <cell r="A1899">
            <v>240190019</v>
          </cell>
          <cell r="B1899" t="str">
            <v>ACC INT. PAYABLE DOM A/C BANKS</v>
          </cell>
          <cell r="C1899">
            <v>0</v>
          </cell>
          <cell r="D1899">
            <v>355885.8</v>
          </cell>
          <cell r="E1899">
            <v>355885.8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355885.8</v>
          </cell>
          <cell r="T1899">
            <v>355885.8</v>
          </cell>
        </row>
        <row r="1900">
          <cell r="A1900">
            <v>240190020</v>
          </cell>
          <cell r="B1900" t="str">
            <v>ACC INT. PAYABLE   IB &amp; DH TAKIN</v>
          </cell>
          <cell r="C1900">
            <v>0</v>
          </cell>
          <cell r="D1900">
            <v>0</v>
          </cell>
          <cell r="E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</row>
        <row r="1901">
          <cell r="A1901">
            <v>240190021</v>
          </cell>
          <cell r="B1901" t="str">
            <v>INT PAYABLE -SECURED I/B TAKINGS</v>
          </cell>
          <cell r="C1901">
            <v>30876712.329999998</v>
          </cell>
          <cell r="D1901">
            <v>0</v>
          </cell>
          <cell r="E1901">
            <v>30876712.329999998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30876712.329999998</v>
          </cell>
          <cell r="T1901">
            <v>30876712.329999998</v>
          </cell>
        </row>
        <row r="1902">
          <cell r="A1902">
            <v>240190022</v>
          </cell>
          <cell r="B1902" t="str">
            <v>ACC INT. PAYABLE   CALL DEPOSITS</v>
          </cell>
          <cell r="C1902">
            <v>49591692.119999997</v>
          </cell>
          <cell r="D1902">
            <v>0</v>
          </cell>
          <cell r="E1902">
            <v>49591692.119999997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49591692.119999997</v>
          </cell>
          <cell r="T1902">
            <v>49591692.119999997</v>
          </cell>
        </row>
        <row r="1903">
          <cell r="A1903">
            <v>240190023</v>
          </cell>
          <cell r="B1903" t="str">
            <v>ACC INT. PAYABLE   OTHER DEPOSIT</v>
          </cell>
          <cell r="C1903">
            <v>-225629291.25</v>
          </cell>
          <cell r="D1903">
            <v>6579060742.6099997</v>
          </cell>
          <cell r="E1903">
            <v>6353431451.3599997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6353431451.3599997</v>
          </cell>
          <cell r="T1903">
            <v>6353431451.3599997</v>
          </cell>
        </row>
        <row r="1904">
          <cell r="A1904">
            <v>240190024</v>
          </cell>
          <cell r="B1904" t="str">
            <v>ACC INT. PAYABLE   PROBLEM LOANS</v>
          </cell>
          <cell r="C1904">
            <v>1154</v>
          </cell>
          <cell r="D1904">
            <v>0</v>
          </cell>
          <cell r="E1904">
            <v>1154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1154</v>
          </cell>
          <cell r="T1904">
            <v>1154</v>
          </cell>
        </row>
        <row r="1905">
          <cell r="A1905">
            <v>240190025</v>
          </cell>
          <cell r="B1905" t="str">
            <v>ACC INT. PAYABLE  OTHER CORP A/C</v>
          </cell>
          <cell r="C1905">
            <v>0</v>
          </cell>
          <cell r="D1905">
            <v>0</v>
          </cell>
          <cell r="E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</row>
        <row r="1906">
          <cell r="A1906">
            <v>240190026</v>
          </cell>
          <cell r="B1906" t="str">
            <v>SUNDRY ITEMS AWAITING INSTRUCTIO</v>
          </cell>
          <cell r="C1906">
            <v>431121.84</v>
          </cell>
          <cell r="D1906">
            <v>7131000000</v>
          </cell>
          <cell r="E1906">
            <v>7131431121.8400002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7131431121.8400002</v>
          </cell>
          <cell r="T1906">
            <v>7131431121.8400002</v>
          </cell>
        </row>
        <row r="1907">
          <cell r="A1907">
            <v>240190027</v>
          </cell>
          <cell r="B1907" t="str">
            <v>OTHER COLLECTIONS PAYABLE</v>
          </cell>
          <cell r="C1907">
            <v>0</v>
          </cell>
          <cell r="D1907">
            <v>0</v>
          </cell>
          <cell r="E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</row>
        <row r="1908">
          <cell r="A1908">
            <v>240190028</v>
          </cell>
          <cell r="B1908" t="str">
            <v>A/CS PAYABLE  FOREIGN DRAFTS [US</v>
          </cell>
          <cell r="C1908">
            <v>0</v>
          </cell>
          <cell r="D1908">
            <v>0</v>
          </cell>
          <cell r="E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</row>
        <row r="1909">
          <cell r="A1909">
            <v>240190029</v>
          </cell>
          <cell r="B1909" t="str">
            <v>A/CS PAYABLE   DEMAND DRAFTS</v>
          </cell>
          <cell r="C1909">
            <v>1034.51</v>
          </cell>
          <cell r="D1909">
            <v>0</v>
          </cell>
          <cell r="E1909">
            <v>1034.51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1034.51</v>
          </cell>
          <cell r="T1909">
            <v>1034.51</v>
          </cell>
        </row>
        <row r="1910">
          <cell r="A1910">
            <v>240190030</v>
          </cell>
          <cell r="B1910" t="str">
            <v>POLARIS D.WARRANT SENT FOR COLLE</v>
          </cell>
          <cell r="C1910">
            <v>0</v>
          </cell>
          <cell r="D1910">
            <v>0</v>
          </cell>
          <cell r="E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</row>
        <row r="1911">
          <cell r="A1911">
            <v>240190031</v>
          </cell>
          <cell r="B1911" t="str">
            <v>A/CS PAYABLE PRUDENT MONEY TRANS</v>
          </cell>
          <cell r="C1911">
            <v>9482849.0999999996</v>
          </cell>
          <cell r="D1911">
            <v>0</v>
          </cell>
          <cell r="E1911">
            <v>9482849.0999999996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9482849.0999999996</v>
          </cell>
          <cell r="T1911">
            <v>9482849.0999999996</v>
          </cell>
        </row>
        <row r="1912">
          <cell r="A1912">
            <v>240190032</v>
          </cell>
          <cell r="B1912" t="str">
            <v>A/CS PAYABLE APTPAY</v>
          </cell>
          <cell r="C1912">
            <v>0</v>
          </cell>
          <cell r="D1912">
            <v>0</v>
          </cell>
          <cell r="E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</row>
        <row r="1913">
          <cell r="A1913">
            <v>240190033</v>
          </cell>
          <cell r="B1913" t="str">
            <v>SIP - NSITF CONTRIBUTION</v>
          </cell>
          <cell r="C1913">
            <v>7433991.3600000003</v>
          </cell>
          <cell r="D1913">
            <v>0</v>
          </cell>
          <cell r="E1913">
            <v>7433991.3600000003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7433991.3600000003</v>
          </cell>
          <cell r="T1913">
            <v>7433991.3600000003</v>
          </cell>
        </row>
        <row r="1914">
          <cell r="A1914">
            <v>240190034</v>
          </cell>
          <cell r="B1914" t="str">
            <v>STAFF NET PAY SUSPENSE</v>
          </cell>
          <cell r="C1914">
            <v>0</v>
          </cell>
          <cell r="D1914">
            <v>0</v>
          </cell>
          <cell r="E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</row>
        <row r="1915">
          <cell r="A1915">
            <v>240190035</v>
          </cell>
          <cell r="B1915" t="str">
            <v>CUSTOMER SALARY POSTING A/C</v>
          </cell>
          <cell r="C1915">
            <v>288574234.08999997</v>
          </cell>
          <cell r="D1915">
            <v>1241649.72</v>
          </cell>
          <cell r="E1915">
            <v>289815883.81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289815883.81</v>
          </cell>
          <cell r="T1915">
            <v>289815883.81</v>
          </cell>
        </row>
        <row r="1916">
          <cell r="A1916">
            <v>240190036</v>
          </cell>
          <cell r="B1916" t="str">
            <v>WAN SAL POSTING A/C</v>
          </cell>
          <cell r="C1916">
            <v>16434</v>
          </cell>
          <cell r="D1916">
            <v>0</v>
          </cell>
          <cell r="E1916">
            <v>16434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16434</v>
          </cell>
          <cell r="T1916">
            <v>16434</v>
          </cell>
        </row>
        <row r="1917">
          <cell r="A1917">
            <v>240190037</v>
          </cell>
          <cell r="B1917" t="str">
            <v>TRANSIT UNCLEARED EFFECTS   4 DA</v>
          </cell>
          <cell r="C1917">
            <v>0</v>
          </cell>
          <cell r="D1917">
            <v>0</v>
          </cell>
          <cell r="E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</row>
        <row r="1918">
          <cell r="A1918">
            <v>240190038</v>
          </cell>
          <cell r="B1918" t="str">
            <v>TRANSIT UNCLEARED EFFECTS   8 DA</v>
          </cell>
          <cell r="C1918">
            <v>0</v>
          </cell>
          <cell r="D1918">
            <v>0</v>
          </cell>
          <cell r="E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</row>
        <row r="1919">
          <cell r="A1919">
            <v>240190039</v>
          </cell>
          <cell r="B1919" t="str">
            <v>TRANSIT UNCLEARED EFFECTS   CFC</v>
          </cell>
          <cell r="C1919">
            <v>0</v>
          </cell>
          <cell r="D1919">
            <v>0</v>
          </cell>
          <cell r="E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</row>
        <row r="1920">
          <cell r="A1920">
            <v>240190040</v>
          </cell>
          <cell r="B1920" t="str">
            <v>A/C PAYABLE- ETRANZACT FEES</v>
          </cell>
          <cell r="C1920">
            <v>-363945077.69999999</v>
          </cell>
          <cell r="D1920">
            <v>0</v>
          </cell>
          <cell r="E1920">
            <v>-363945077.69999999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363945077.69999999</v>
          </cell>
          <cell r="T1920">
            <v>363945077.69999999</v>
          </cell>
        </row>
        <row r="1921">
          <cell r="A1921">
            <v>240190041</v>
          </cell>
          <cell r="B1921" t="str">
            <v>A/CS PAYABLE   UNDISTRIBUTED SAL</v>
          </cell>
          <cell r="C1921">
            <v>5230257.8</v>
          </cell>
          <cell r="D1921">
            <v>0</v>
          </cell>
          <cell r="E1921">
            <v>5230257.8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5230257.8</v>
          </cell>
          <cell r="T1921">
            <v>5230257.8</v>
          </cell>
        </row>
        <row r="1922">
          <cell r="A1922">
            <v>240190042</v>
          </cell>
          <cell r="B1922" t="str">
            <v>A/CS PAYABLE-CLEARING &amp; SETTL(SU</v>
          </cell>
          <cell r="C1922">
            <v>200</v>
          </cell>
          <cell r="D1922">
            <v>0</v>
          </cell>
          <cell r="E1922">
            <v>200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200</v>
          </cell>
          <cell r="T1922">
            <v>200</v>
          </cell>
        </row>
        <row r="1923">
          <cell r="A1923">
            <v>240190043</v>
          </cell>
          <cell r="B1923" t="str">
            <v>ATM CLEARNG &amp; SETTLMENT A/C</v>
          </cell>
          <cell r="C1923">
            <v>0</v>
          </cell>
          <cell r="D1923">
            <v>0</v>
          </cell>
          <cell r="E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</row>
        <row r="1924">
          <cell r="A1924">
            <v>240190044</v>
          </cell>
          <cell r="B1924" t="str">
            <v>VISA DEBIT DOM A/C (USD)</v>
          </cell>
          <cell r="C1924">
            <v>0</v>
          </cell>
          <cell r="D1924">
            <v>1702079578.02</v>
          </cell>
          <cell r="E1924">
            <v>1702079578.02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1702079578.02</v>
          </cell>
          <cell r="T1924">
            <v>1702079578.02</v>
          </cell>
        </row>
        <row r="1925">
          <cell r="A1925">
            <v>240190045</v>
          </cell>
          <cell r="B1925" t="str">
            <v>VISA PREPAID DOM A/C (USD)</v>
          </cell>
          <cell r="C1925">
            <v>0</v>
          </cell>
          <cell r="D1925">
            <v>174977896.78999999</v>
          </cell>
          <cell r="E1925">
            <v>174977896.78999999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174977896.78999999</v>
          </cell>
          <cell r="T1925">
            <v>174977896.78999999</v>
          </cell>
        </row>
        <row r="1926">
          <cell r="A1926">
            <v>240190046</v>
          </cell>
          <cell r="B1926" t="str">
            <v>UNAPPLIED ADV (RPA)   TERM LOANS</v>
          </cell>
          <cell r="C1926">
            <v>17591844.23</v>
          </cell>
          <cell r="D1926">
            <v>0</v>
          </cell>
          <cell r="E1926">
            <v>17591844.23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17591844.23</v>
          </cell>
          <cell r="T1926">
            <v>17591844.23</v>
          </cell>
        </row>
        <row r="1927">
          <cell r="A1927">
            <v>240190047</v>
          </cell>
          <cell r="B1927" t="str">
            <v>A/CS PAYABLE-VALUCARD</v>
          </cell>
          <cell r="C1927">
            <v>0</v>
          </cell>
          <cell r="D1927">
            <v>0</v>
          </cell>
          <cell r="E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</row>
        <row r="1928">
          <cell r="A1928">
            <v>240190048</v>
          </cell>
          <cell r="B1928" t="str">
            <v>AUTOPAY PAYABLE</v>
          </cell>
          <cell r="C1928">
            <v>0</v>
          </cell>
          <cell r="D1928">
            <v>0</v>
          </cell>
          <cell r="E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</row>
        <row r="1929">
          <cell r="A1929">
            <v>240190049</v>
          </cell>
          <cell r="B1929" t="str">
            <v>NSITF PAYABLE</v>
          </cell>
          <cell r="C1929">
            <v>0</v>
          </cell>
          <cell r="D1929">
            <v>0</v>
          </cell>
          <cell r="E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</row>
        <row r="1930">
          <cell r="A1930">
            <v>240190050</v>
          </cell>
          <cell r="B1930" t="str">
            <v>A/CS PAYABLES STAFF PENALTIES</v>
          </cell>
          <cell r="C1930">
            <v>4242752.18</v>
          </cell>
          <cell r="D1930">
            <v>0</v>
          </cell>
          <cell r="E1930">
            <v>4242752.18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4242752.18</v>
          </cell>
          <cell r="T1930">
            <v>4242752.18</v>
          </cell>
        </row>
        <row r="1931">
          <cell r="A1931">
            <v>240190051</v>
          </cell>
          <cell r="B1931" t="str">
            <v>OTHER PAYABLES   CASH OVERAGES</v>
          </cell>
          <cell r="C1931">
            <v>64496123.640000001</v>
          </cell>
          <cell r="D1931">
            <v>1428581.75</v>
          </cell>
          <cell r="E1931">
            <v>65924705.390000001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65924705.390000001</v>
          </cell>
          <cell r="T1931">
            <v>65924705.390000001</v>
          </cell>
        </row>
        <row r="1932">
          <cell r="A1932">
            <v>240190052</v>
          </cell>
          <cell r="B1932" t="str">
            <v>ACCRUED INCOME WUMT(USD) ACCOUNT</v>
          </cell>
          <cell r="C1932">
            <v>0</v>
          </cell>
          <cell r="D1932">
            <v>0</v>
          </cell>
          <cell r="E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</row>
        <row r="1933">
          <cell r="A1933">
            <v>240190053</v>
          </cell>
          <cell r="B1933" t="str">
            <v>A/C PAYABLE- ETRANZACT TRANSFER</v>
          </cell>
          <cell r="C1933">
            <v>46379001553.339996</v>
          </cell>
          <cell r="D1933">
            <v>0</v>
          </cell>
          <cell r="E1933">
            <v>46379001553.339996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46379001553.339996</v>
          </cell>
          <cell r="T1933">
            <v>46379001553.339996</v>
          </cell>
        </row>
        <row r="1934">
          <cell r="A1934">
            <v>240190055</v>
          </cell>
          <cell r="B1934" t="str">
            <v>ACC INT   TERM DEPOSITS   001</v>
          </cell>
          <cell r="C1934">
            <v>0</v>
          </cell>
          <cell r="D1934">
            <v>0</v>
          </cell>
          <cell r="E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</row>
        <row r="1935">
          <cell r="A1935">
            <v>240190056</v>
          </cell>
          <cell r="B1935" t="str">
            <v>INTER SYSTEM BRIDGE GL</v>
          </cell>
          <cell r="C1935">
            <v>2211956.92</v>
          </cell>
          <cell r="D1935">
            <v>0</v>
          </cell>
          <cell r="E1935">
            <v>2211956.92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2211956.92</v>
          </cell>
          <cell r="T1935">
            <v>2211956.92</v>
          </cell>
        </row>
        <row r="1936">
          <cell r="A1936">
            <v>240190057</v>
          </cell>
          <cell r="B1936" t="str">
            <v>ORACLE BANK BRANCH (OBBRN) BRIDG</v>
          </cell>
          <cell r="C1936">
            <v>-73551554.260000005</v>
          </cell>
          <cell r="D1936">
            <v>0</v>
          </cell>
          <cell r="E1936">
            <v>-73551554.260000005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73551554.260000005</v>
          </cell>
          <cell r="T1936">
            <v>73551554.260000005</v>
          </cell>
        </row>
        <row r="1937">
          <cell r="A1937">
            <v>240190058</v>
          </cell>
          <cell r="B1937" t="str">
            <v>PROV. FOR DOUBTFUL SME INVESTMEN</v>
          </cell>
          <cell r="C1937">
            <v>0</v>
          </cell>
          <cell r="D1937">
            <v>0</v>
          </cell>
          <cell r="E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</row>
        <row r="1938">
          <cell r="A1938">
            <v>240190059</v>
          </cell>
          <cell r="B1938" t="str">
            <v>PROV.FOR DOUBTFUL BANK BALANCES</v>
          </cell>
          <cell r="C1938">
            <v>0</v>
          </cell>
          <cell r="D1938">
            <v>0</v>
          </cell>
          <cell r="E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</row>
        <row r="1939">
          <cell r="A1939">
            <v>240190060</v>
          </cell>
          <cell r="B1939" t="str">
            <v>CBN RETAIL BID SUSPENSE</v>
          </cell>
          <cell r="C1939">
            <v>0</v>
          </cell>
          <cell r="D1939">
            <v>0</v>
          </cell>
          <cell r="E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</row>
        <row r="1940">
          <cell r="A1940">
            <v>240190061</v>
          </cell>
          <cell r="B1940" t="str">
            <v>CONVERSION GL FOR LC</v>
          </cell>
          <cell r="C1940">
            <v>2779581.35</v>
          </cell>
          <cell r="D1940">
            <v>0</v>
          </cell>
          <cell r="E1940">
            <v>2779581.35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2779581.35</v>
          </cell>
          <cell r="T1940">
            <v>2779581.35</v>
          </cell>
        </row>
        <row r="1941">
          <cell r="A1941">
            <v>240190062</v>
          </cell>
          <cell r="B1941" t="str">
            <v>C/AS   LCY PUBLIC SECTOR</v>
          </cell>
          <cell r="C1941">
            <v>161645</v>
          </cell>
          <cell r="D1941">
            <v>0</v>
          </cell>
          <cell r="E1941">
            <v>161645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161645</v>
          </cell>
          <cell r="T1941">
            <v>161645</v>
          </cell>
        </row>
        <row r="1942">
          <cell r="A1942">
            <v>240190063</v>
          </cell>
          <cell r="B1942" t="str">
            <v>ACC INT. PAYABLE   TD   002</v>
          </cell>
          <cell r="C1942">
            <v>19560880.09</v>
          </cell>
          <cell r="D1942">
            <v>0</v>
          </cell>
          <cell r="E1942">
            <v>19560880.09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19560880.09</v>
          </cell>
          <cell r="T1942">
            <v>19560880.09</v>
          </cell>
        </row>
        <row r="1943">
          <cell r="A1943" t="str">
            <v>_x0012_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</row>
        <row r="1944"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</row>
        <row r="1945">
          <cell r="C1945" t="str">
            <v>Polaris Bank Limited, N</v>
          </cell>
          <cell r="D1945" t="str">
            <v>igeria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</row>
        <row r="1946">
          <cell r="C1946" t="str">
            <v>** Consolidated Balance Shee</v>
          </cell>
          <cell r="D1946" t="str">
            <v>t CBN **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</row>
        <row r="1947"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</row>
        <row r="1948">
          <cell r="C1948" t="str">
            <v>As on :     31-OCT-2025</v>
          </cell>
          <cell r="E1948" t="str">
            <v>Page   :   35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</row>
        <row r="1949"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</row>
        <row r="1950">
          <cell r="A1950" t="str">
            <v>User Id :</v>
          </cell>
          <cell r="B1950" t="str">
            <v>SYSTEM</v>
          </cell>
          <cell r="C1950" t="str">
            <v>Date 1 Time :     01-NOV-2025</v>
          </cell>
          <cell r="D1950">
            <v>0.21625000000000003</v>
          </cell>
          <cell r="E1950" t="str">
            <v>Module :   GL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</row>
        <row r="1951">
          <cell r="A1951" t="str">
            <v>----------</v>
          </cell>
          <cell r="B1951" t="str">
            <v>----------------------------------------</v>
          </cell>
          <cell r="C1951" t="str">
            <v>------------------------------</v>
          </cell>
          <cell r="D1951" t="str">
            <v>------------------------------</v>
          </cell>
          <cell r="E1951" t="str">
            <v>----------------------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</row>
        <row r="1952">
          <cell r="A1952" t="str">
            <v>GL Code</v>
          </cell>
          <cell r="B1952" t="str">
            <v>Description</v>
          </cell>
          <cell r="C1952" t="str">
            <v>LCY Amount</v>
          </cell>
          <cell r="D1952" t="str">
            <v>FCY Amount (Lcy Eq)</v>
          </cell>
          <cell r="E1952" t="str">
            <v>Total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</row>
        <row r="1953"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</row>
        <row r="1954">
          <cell r="A1954" t="str">
            <v>----------</v>
          </cell>
          <cell r="B1954" t="str">
            <v>----------------------------------------</v>
          </cell>
          <cell r="C1954" t="str">
            <v>------------------------------</v>
          </cell>
          <cell r="D1954" t="str">
            <v>------------------------------</v>
          </cell>
          <cell r="E1954" t="str">
            <v>----------------------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</row>
        <row r="1955">
          <cell r="A1955" t="str">
            <v>Liability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</row>
        <row r="1956"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</row>
        <row r="1957">
          <cell r="A1957">
            <v>240190064</v>
          </cell>
          <cell r="B1957" t="str">
            <v>RECAPITALIZATION A/CS  PAYABLE</v>
          </cell>
          <cell r="C1957">
            <v>0</v>
          </cell>
          <cell r="D1957">
            <v>0</v>
          </cell>
          <cell r="E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</row>
        <row r="1958">
          <cell r="A1958">
            <v>240190068</v>
          </cell>
          <cell r="B1958" t="str">
            <v>SPECIFIC LOAN LOSS PROVISIONS.</v>
          </cell>
          <cell r="C1958">
            <v>0</v>
          </cell>
          <cell r="D1958">
            <v>0</v>
          </cell>
          <cell r="E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</row>
        <row r="1959">
          <cell r="A1959">
            <v>240190069</v>
          </cell>
          <cell r="B1959" t="str">
            <v>SPECIFIC LLPáá TERM LOANS</v>
          </cell>
          <cell r="C1959">
            <v>0</v>
          </cell>
          <cell r="D1959">
            <v>0</v>
          </cell>
          <cell r="E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</row>
        <row r="1960">
          <cell r="A1960">
            <v>240190070</v>
          </cell>
          <cell r="B1960" t="str">
            <v>SPECIFIC LLPáá OVERDRAFT</v>
          </cell>
          <cell r="C1960">
            <v>0</v>
          </cell>
          <cell r="D1960">
            <v>0</v>
          </cell>
          <cell r="E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</row>
        <row r="1961">
          <cell r="A1961">
            <v>240190071</v>
          </cell>
          <cell r="B1961" t="str">
            <v>SPECIFIC LLPááADV UNDER LEASE</v>
          </cell>
          <cell r="C1961">
            <v>0</v>
          </cell>
          <cell r="D1961">
            <v>0</v>
          </cell>
          <cell r="E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</row>
        <row r="1962">
          <cell r="A1962">
            <v>240190072</v>
          </cell>
          <cell r="B1962" t="str">
            <v>GENERAL LLPáá OVERDRAFT</v>
          </cell>
          <cell r="C1962">
            <v>0</v>
          </cell>
          <cell r="D1962">
            <v>0</v>
          </cell>
          <cell r="E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</row>
        <row r="1963">
          <cell r="A1963">
            <v>240190073</v>
          </cell>
          <cell r="B1963" t="str">
            <v>A/C PAYABLE-PAPSS OUTWARD GL</v>
          </cell>
          <cell r="C1963">
            <v>6170980</v>
          </cell>
          <cell r="D1963">
            <v>0</v>
          </cell>
          <cell r="E1963">
            <v>6170980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6170980</v>
          </cell>
          <cell r="T1963">
            <v>6170980</v>
          </cell>
        </row>
        <row r="1964">
          <cell r="A1964">
            <v>240190074</v>
          </cell>
          <cell r="B1964" t="str">
            <v>A/CS PAYABLE- LETTERS OF CREDIT</v>
          </cell>
          <cell r="C1964">
            <v>0</v>
          </cell>
          <cell r="D1964">
            <v>0</v>
          </cell>
          <cell r="E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</row>
        <row r="1965">
          <cell r="A1965">
            <v>240190075</v>
          </cell>
          <cell r="B1965" t="str">
            <v>WTH TAX PAYABLE DIVIDENDSáá OTHE</v>
          </cell>
          <cell r="C1965">
            <v>0</v>
          </cell>
          <cell r="D1965">
            <v>0</v>
          </cell>
          <cell r="E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</row>
        <row r="1966">
          <cell r="A1966">
            <v>240190076</v>
          </cell>
          <cell r="B1966" t="str">
            <v>A/CS PAYABLE- BILLS FOR COLLECTI</v>
          </cell>
          <cell r="C1966">
            <v>0</v>
          </cell>
          <cell r="D1966">
            <v>0</v>
          </cell>
          <cell r="E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</row>
        <row r="1967">
          <cell r="A1967">
            <v>240190077</v>
          </cell>
          <cell r="B1967" t="str">
            <v>CASH COLLATERAL INTEREST HOLD OV</v>
          </cell>
          <cell r="C1967">
            <v>0</v>
          </cell>
          <cell r="D1967">
            <v>0</v>
          </cell>
          <cell r="E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</row>
        <row r="1968">
          <cell r="A1968">
            <v>240190078</v>
          </cell>
          <cell r="B1968" t="str">
            <v>A/CS PAYABLE- INVISIBLE TRANSACT</v>
          </cell>
          <cell r="C1968">
            <v>0</v>
          </cell>
          <cell r="D1968">
            <v>0</v>
          </cell>
          <cell r="E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</row>
        <row r="1969">
          <cell r="A1969">
            <v>240190079</v>
          </cell>
          <cell r="B1969" t="str">
            <v>A/CS PAYABLE- PTA/BTA ACCOUNTS</v>
          </cell>
          <cell r="C1969">
            <v>48366.32</v>
          </cell>
          <cell r="D1969">
            <v>0</v>
          </cell>
          <cell r="E1969">
            <v>48366.32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48366.32</v>
          </cell>
          <cell r="T1969">
            <v>48366.32</v>
          </cell>
        </row>
        <row r="1970">
          <cell r="A1970">
            <v>240190082</v>
          </cell>
          <cell r="B1970" t="str">
            <v>SME PAYABLE ACCOUNT</v>
          </cell>
          <cell r="C1970">
            <v>0</v>
          </cell>
          <cell r="D1970">
            <v>0</v>
          </cell>
          <cell r="E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</row>
        <row r="1971">
          <cell r="A1971">
            <v>240200000</v>
          </cell>
          <cell r="B1971" t="str">
            <v>INTERBRANCH CONVERSION GL (LIAB)</v>
          </cell>
          <cell r="C1971">
            <v>6584746.3600000003</v>
          </cell>
          <cell r="D1971">
            <v>0</v>
          </cell>
          <cell r="E1971">
            <v>6584746.3600000003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6584746.3600000003</v>
          </cell>
          <cell r="T1971">
            <v>6584746.3600000003</v>
          </cell>
        </row>
        <row r="1972">
          <cell r="A1972">
            <v>240300001</v>
          </cell>
          <cell r="B1972" t="str">
            <v>LEASE LIABILITY</v>
          </cell>
          <cell r="C1972">
            <v>2367574694.0900002</v>
          </cell>
          <cell r="D1972">
            <v>0</v>
          </cell>
          <cell r="E1972">
            <v>2367574694.0900002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2367574694.0900002</v>
          </cell>
          <cell r="T1972">
            <v>2367574694.0900002</v>
          </cell>
        </row>
        <row r="1973">
          <cell r="A1973">
            <v>250010000</v>
          </cell>
          <cell r="B1973" t="str">
            <v>COMPANIES INC TAX</v>
          </cell>
          <cell r="C1973">
            <v>0</v>
          </cell>
          <cell r="D1973">
            <v>0</v>
          </cell>
          <cell r="E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</row>
        <row r="1974">
          <cell r="A1974">
            <v>250020000</v>
          </cell>
          <cell r="B1974" t="str">
            <v>EDUCATION TAX</v>
          </cell>
          <cell r="C1974">
            <v>-0.01</v>
          </cell>
          <cell r="D1974">
            <v>0</v>
          </cell>
          <cell r="E1974">
            <v>-0.01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-0.01</v>
          </cell>
          <cell r="T1974">
            <v>-0.01</v>
          </cell>
        </row>
        <row r="1975">
          <cell r="A1975">
            <v>250030000</v>
          </cell>
          <cell r="B1975" t="str">
            <v>INFO TECH. DEVELOPMENT TAX</v>
          </cell>
          <cell r="C1975">
            <v>122055813.63</v>
          </cell>
          <cell r="D1975">
            <v>0</v>
          </cell>
          <cell r="E1975">
            <v>122055813.63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122055813.63</v>
          </cell>
          <cell r="T1975">
            <v>122055813.63</v>
          </cell>
        </row>
        <row r="1976">
          <cell r="A1976">
            <v>250040000</v>
          </cell>
          <cell r="B1976" t="str">
            <v>CAPITAL GAIN TAX</v>
          </cell>
          <cell r="C1976">
            <v>235518639.03</v>
          </cell>
          <cell r="D1976">
            <v>0</v>
          </cell>
          <cell r="E1976">
            <v>235518639.03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235518639.03</v>
          </cell>
          <cell r="T1976">
            <v>235518639.03</v>
          </cell>
        </row>
        <row r="1977">
          <cell r="A1977">
            <v>260010000</v>
          </cell>
          <cell r="B1977" t="str">
            <v>DEFERRED TAX PAYABLE</v>
          </cell>
          <cell r="C1977">
            <v>0</v>
          </cell>
          <cell r="D1977">
            <v>0</v>
          </cell>
          <cell r="E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</row>
        <row r="1978">
          <cell r="A1978">
            <v>310010000</v>
          </cell>
          <cell r="B1978" t="str">
            <v>ORDINARY SHARES</v>
          </cell>
          <cell r="C1978">
            <v>25000000000</v>
          </cell>
          <cell r="D1978">
            <v>0</v>
          </cell>
          <cell r="E1978">
            <v>25000000000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25000000000</v>
          </cell>
          <cell r="T1978">
            <v>25000000000</v>
          </cell>
        </row>
        <row r="1979">
          <cell r="A1979">
            <v>320010000</v>
          </cell>
          <cell r="B1979" t="str">
            <v>SHARE PREMIUM RECEIVED</v>
          </cell>
          <cell r="C1979">
            <v>25433404629.27</v>
          </cell>
          <cell r="D1979">
            <v>0</v>
          </cell>
          <cell r="E1979">
            <v>25433404629.27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25433404629.27</v>
          </cell>
          <cell r="T1979">
            <v>25433404629.27</v>
          </cell>
        </row>
        <row r="1980">
          <cell r="A1980">
            <v>330010000</v>
          </cell>
          <cell r="B1980" t="str">
            <v>REVENUE RESERVES</v>
          </cell>
          <cell r="C1980">
            <v>6139488401.1300001</v>
          </cell>
          <cell r="D1980">
            <v>0</v>
          </cell>
          <cell r="E1980">
            <v>6139488401.1300001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6139488401.1300001</v>
          </cell>
          <cell r="T1980">
            <v>6139488401.1300001</v>
          </cell>
        </row>
        <row r="1981">
          <cell r="A1981">
            <v>330020000</v>
          </cell>
          <cell r="B1981" t="str">
            <v>CAPITAL RESERVES</v>
          </cell>
          <cell r="C1981">
            <v>0</v>
          </cell>
          <cell r="D1981">
            <v>0</v>
          </cell>
          <cell r="E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</row>
        <row r="1982">
          <cell r="A1982">
            <v>330030000</v>
          </cell>
          <cell r="B1982" t="str">
            <v>STATUTORY RESERVES</v>
          </cell>
          <cell r="C1982">
            <v>35418354110.120003</v>
          </cell>
          <cell r="D1982">
            <v>0</v>
          </cell>
          <cell r="E1982">
            <v>35418354110.120003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35418354110.120003</v>
          </cell>
          <cell r="T1982">
            <v>35418354110.120003</v>
          </cell>
        </row>
        <row r="1983">
          <cell r="A1983">
            <v>330040000</v>
          </cell>
          <cell r="B1983" t="str">
            <v>RESERVE FOR SSI</v>
          </cell>
          <cell r="C1983">
            <v>0</v>
          </cell>
          <cell r="D1983">
            <v>0</v>
          </cell>
          <cell r="E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</row>
        <row r="1984">
          <cell r="A1984">
            <v>330050000</v>
          </cell>
          <cell r="B1984" t="str">
            <v>REGULATORY RISK RESERVE GL</v>
          </cell>
          <cell r="C1984">
            <v>0</v>
          </cell>
          <cell r="D1984">
            <v>0</v>
          </cell>
          <cell r="E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</row>
        <row r="1985">
          <cell r="A1985">
            <v>340010000</v>
          </cell>
          <cell r="B1985" t="str">
            <v>RESERVE FOR FOR BONUS ISSUE</v>
          </cell>
          <cell r="C1985">
            <v>0</v>
          </cell>
          <cell r="D1985">
            <v>0</v>
          </cell>
          <cell r="E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</row>
        <row r="1986">
          <cell r="A1986">
            <v>340020000</v>
          </cell>
          <cell r="B1986" t="str">
            <v>REVALUATION RESERVES</v>
          </cell>
          <cell r="C1986">
            <v>0</v>
          </cell>
          <cell r="D1986">
            <v>0</v>
          </cell>
          <cell r="E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</row>
        <row r="1987">
          <cell r="A1987">
            <v>340030000</v>
          </cell>
          <cell r="B1987" t="str">
            <v>RETAINED PROFIT / (LOSS)</v>
          </cell>
          <cell r="C1987">
            <v>0</v>
          </cell>
          <cell r="D1987">
            <v>0</v>
          </cell>
          <cell r="E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</row>
        <row r="1988">
          <cell r="A1988">
            <v>340040000</v>
          </cell>
          <cell r="B1988" t="str">
            <v>FAIR VALUE RESERVE</v>
          </cell>
          <cell r="C1988">
            <v>9194365944.2600002</v>
          </cell>
          <cell r="D1988">
            <v>0</v>
          </cell>
          <cell r="E1988">
            <v>9194365944.2600002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9194365944.2600002</v>
          </cell>
          <cell r="T1988">
            <v>9194365944.2600002</v>
          </cell>
        </row>
        <row r="1989">
          <cell r="A1989">
            <v>340050000</v>
          </cell>
          <cell r="B1989" t="str">
            <v>AGSMIES RESERVE</v>
          </cell>
          <cell r="C1989">
            <v>2987960399.52</v>
          </cell>
          <cell r="D1989">
            <v>0</v>
          </cell>
          <cell r="E1989">
            <v>2987960399.52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2987960399.52</v>
          </cell>
          <cell r="T1989">
            <v>2987960399.52</v>
          </cell>
        </row>
        <row r="1990">
          <cell r="A1990">
            <v>340060000</v>
          </cell>
          <cell r="B1990" t="str">
            <v>REORGANIZATION RESERVE</v>
          </cell>
          <cell r="C1990">
            <v>0</v>
          </cell>
          <cell r="D1990">
            <v>0</v>
          </cell>
          <cell r="E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</row>
        <row r="1991">
          <cell r="A1991">
            <v>340060001</v>
          </cell>
          <cell r="B1991" t="str">
            <v>INTERVENTION RESERVE FUND</v>
          </cell>
          <cell r="C1991">
            <v>12492298676.68</v>
          </cell>
          <cell r="D1991">
            <v>0</v>
          </cell>
          <cell r="E1991">
            <v>12492298676.68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12492298676.68</v>
          </cell>
          <cell r="T1991">
            <v>12492298676.68</v>
          </cell>
        </row>
        <row r="1992"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</row>
        <row r="1993"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</row>
        <row r="1994">
          <cell r="B1994" t="str">
            <v>*******</v>
          </cell>
          <cell r="C1994" t="str">
            <v>*********************  *******</v>
          </cell>
          <cell r="D1994" t="str">
            <v>**********************  ******</v>
          </cell>
          <cell r="E1994" t="str">
            <v>**********************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</row>
        <row r="1995">
          <cell r="A1995" t="str">
            <v>**** TOTAL</v>
          </cell>
          <cell r="B1995" t="str">
            <v>Liability                            2</v>
          </cell>
          <cell r="C1995" t="str">
            <v>,352,411,021,699.74</v>
          </cell>
          <cell r="D1995">
            <v>388123017846.01001</v>
          </cell>
          <cell r="E1995">
            <v>2740534039545.75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</row>
        <row r="1996">
          <cell r="B1996" t="str">
            <v>*******</v>
          </cell>
          <cell r="C1996" t="str">
            <v>*********************  *******</v>
          </cell>
          <cell r="D1996" t="str">
            <v>**********************  ******</v>
          </cell>
          <cell r="E1996" t="str">
            <v>**********************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</row>
        <row r="1997"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</row>
        <row r="1998"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</row>
        <row r="1999">
          <cell r="A1999" t="str">
            <v>_x0012_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</row>
        <row r="2000"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</row>
        <row r="2001">
          <cell r="C2001" t="str">
            <v>Polaris Bank Limited, N</v>
          </cell>
          <cell r="D2001" t="str">
            <v>igeria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</row>
        <row r="2002">
          <cell r="C2002" t="str">
            <v>** Consolidated Balance Shee</v>
          </cell>
          <cell r="D2002" t="str">
            <v>t CBN **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</row>
        <row r="2003"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</row>
        <row r="2004">
          <cell r="C2004" t="str">
            <v>As on :     31-OCT-2025</v>
          </cell>
          <cell r="E2004" t="str">
            <v>Page   :   36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</row>
        <row r="2005"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</row>
        <row r="2006">
          <cell r="A2006" t="str">
            <v>User Id :</v>
          </cell>
          <cell r="B2006" t="str">
            <v>SYSTEM</v>
          </cell>
          <cell r="C2006" t="str">
            <v>Date 1 Time :     01-NOV-2025</v>
          </cell>
          <cell r="D2006">
            <v>0.21625000000000003</v>
          </cell>
          <cell r="E2006" t="str">
            <v>Module :   GL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</row>
        <row r="2007">
          <cell r="A2007" t="str">
            <v>----------</v>
          </cell>
          <cell r="B2007" t="str">
            <v>----------------------------------------</v>
          </cell>
          <cell r="C2007" t="str">
            <v>------------------------------</v>
          </cell>
          <cell r="D2007" t="str">
            <v>------------------------------</v>
          </cell>
          <cell r="E2007" t="str">
            <v>----------------------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</row>
        <row r="2008">
          <cell r="A2008" t="str">
            <v>GL Code</v>
          </cell>
          <cell r="B2008" t="str">
            <v>Description</v>
          </cell>
          <cell r="C2008" t="str">
            <v>LCY Amount</v>
          </cell>
          <cell r="D2008" t="str">
            <v>FCY Amount (Lcy Eq)</v>
          </cell>
          <cell r="E2008" t="str">
            <v>Total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</row>
        <row r="2009"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</row>
        <row r="2010">
          <cell r="A2010" t="str">
            <v>----------</v>
          </cell>
          <cell r="B2010" t="str">
            <v>----------------------------------------</v>
          </cell>
          <cell r="C2010" t="str">
            <v>------------------------------</v>
          </cell>
          <cell r="D2010" t="str">
            <v>------------------------------</v>
          </cell>
          <cell r="E2010" t="str">
            <v>----------------------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</row>
        <row r="2011">
          <cell r="A2011" t="str">
            <v>Income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</row>
        <row r="2012"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</row>
        <row r="2013">
          <cell r="A2013">
            <v>410010101</v>
          </cell>
          <cell r="B2013" t="str">
            <v>INT. INC. - TERM LOANS   CORPORA</v>
          </cell>
          <cell r="C2013">
            <v>0</v>
          </cell>
          <cell r="D2013">
            <v>0</v>
          </cell>
          <cell r="E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</row>
        <row r="2014">
          <cell r="A2014">
            <v>410010104</v>
          </cell>
          <cell r="B2014" t="str">
            <v>INT. INC. - TERM LOANS-SHARELINE</v>
          </cell>
          <cell r="C2014">
            <v>0</v>
          </cell>
          <cell r="D2014">
            <v>0</v>
          </cell>
          <cell r="E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</row>
        <row r="2015">
          <cell r="A2015">
            <v>410010105</v>
          </cell>
          <cell r="B2015" t="str">
            <v>INT. INC. - TERM LOANS-PROJECT F</v>
          </cell>
          <cell r="C2015">
            <v>-414319282.66000003</v>
          </cell>
          <cell r="D2015">
            <v>0</v>
          </cell>
          <cell r="E2015">
            <v>-414319282.66000003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1315914596.4299994</v>
          </cell>
          <cell r="P2015">
            <v>0</v>
          </cell>
          <cell r="Q2015">
            <v>0</v>
          </cell>
          <cell r="R2015">
            <v>0</v>
          </cell>
          <cell r="S2015">
            <v>901595313.76999927</v>
          </cell>
          <cell r="T2015">
            <v>901595313.76999927</v>
          </cell>
        </row>
        <row r="2016">
          <cell r="A2016">
            <v>410010106</v>
          </cell>
          <cell r="B2016" t="str">
            <v>INT. INC. - TERM LOAN BRIDGING F</v>
          </cell>
          <cell r="C2016">
            <v>0</v>
          </cell>
          <cell r="D2016">
            <v>0</v>
          </cell>
          <cell r="E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</row>
        <row r="2017">
          <cell r="A2017">
            <v>410010107</v>
          </cell>
          <cell r="B2017" t="str">
            <v>INT. INC. - TERM LOAN WORKING CA</v>
          </cell>
          <cell r="C2017">
            <v>7521195831.3599997</v>
          </cell>
          <cell r="D2017">
            <v>0</v>
          </cell>
          <cell r="E2017">
            <v>7521195831.3599997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7521195831.3599997</v>
          </cell>
          <cell r="T2017">
            <v>7521195831.3599997</v>
          </cell>
        </row>
        <row r="2018">
          <cell r="A2018">
            <v>410010108</v>
          </cell>
          <cell r="B2018" t="str">
            <v>INT. INC. - TERM LOAN - CBN AGRI</v>
          </cell>
          <cell r="C2018">
            <v>0</v>
          </cell>
          <cell r="D2018">
            <v>0</v>
          </cell>
          <cell r="E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</row>
        <row r="2019">
          <cell r="A2019">
            <v>410010109</v>
          </cell>
          <cell r="B2019" t="str">
            <v>INT. INC. - TERM LOAN  CBN SME S</v>
          </cell>
          <cell r="C2019">
            <v>0</v>
          </cell>
          <cell r="D2019">
            <v>0</v>
          </cell>
          <cell r="E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</row>
        <row r="2020">
          <cell r="A2020">
            <v>410010110</v>
          </cell>
          <cell r="B2020" t="str">
            <v>INT. INC. - TERM LOAN -CBN POWER</v>
          </cell>
          <cell r="C2020">
            <v>0</v>
          </cell>
          <cell r="D2020">
            <v>0</v>
          </cell>
          <cell r="E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</row>
        <row r="2021">
          <cell r="A2021">
            <v>410010112</v>
          </cell>
          <cell r="B2021" t="str">
            <v>INT INCOME COOP BLUE-CHIP (CSBM)</v>
          </cell>
          <cell r="C2021">
            <v>0</v>
          </cell>
          <cell r="D2021">
            <v>0</v>
          </cell>
          <cell r="E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</row>
        <row r="2022">
          <cell r="A2022">
            <v>410010113</v>
          </cell>
          <cell r="B2022" t="str">
            <v>INT. INC. - TERM LOAN -STATE BAI</v>
          </cell>
          <cell r="C2022">
            <v>4756136595.6599998</v>
          </cell>
          <cell r="D2022">
            <v>0</v>
          </cell>
          <cell r="E2022">
            <v>4756136595.6599998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4756136595.6599998</v>
          </cell>
          <cell r="T2022">
            <v>4756136595.6599998</v>
          </cell>
        </row>
        <row r="2023">
          <cell r="A2023">
            <v>410010114</v>
          </cell>
          <cell r="B2023" t="str">
            <v>CBN REAL SECTOR SUPPORT FACILITY</v>
          </cell>
          <cell r="C2023">
            <v>0</v>
          </cell>
          <cell r="D2023">
            <v>0</v>
          </cell>
          <cell r="E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</row>
        <row r="2024">
          <cell r="A2024">
            <v>410010116</v>
          </cell>
          <cell r="B2024" t="str">
            <v>INT. INC. - CBN HEALTH SECTOR LO</v>
          </cell>
          <cell r="C2024">
            <v>14666351.65</v>
          </cell>
          <cell r="D2024">
            <v>0</v>
          </cell>
          <cell r="E2024">
            <v>14666351.65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14666351.65</v>
          </cell>
          <cell r="T2024">
            <v>14666351.65</v>
          </cell>
        </row>
        <row r="2025">
          <cell r="A2025">
            <v>410010121</v>
          </cell>
          <cell r="B2025" t="str">
            <v>INT. INC. - TERM LOANS   CORPORA</v>
          </cell>
          <cell r="C2025">
            <v>439766159.55000001</v>
          </cell>
          <cell r="D2025">
            <v>0</v>
          </cell>
          <cell r="E2025">
            <v>439766159.55000001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-151847431.25999999</v>
          </cell>
          <cell r="P2025">
            <v>0</v>
          </cell>
          <cell r="Q2025">
            <v>0</v>
          </cell>
          <cell r="R2025">
            <v>0</v>
          </cell>
          <cell r="S2025">
            <v>287918728.29000002</v>
          </cell>
          <cell r="T2025">
            <v>287918728.29000002</v>
          </cell>
        </row>
        <row r="2026">
          <cell r="A2026">
            <v>410010201</v>
          </cell>
          <cell r="B2026" t="str">
            <v>INT. INC. - TERM LOANS   INDIVID</v>
          </cell>
          <cell r="C2026">
            <v>807510587.33000004</v>
          </cell>
          <cell r="D2026">
            <v>0</v>
          </cell>
          <cell r="E2026">
            <v>807510587.33000004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807510587.33000004</v>
          </cell>
          <cell r="T2026">
            <v>807510587.33000004</v>
          </cell>
        </row>
        <row r="2027">
          <cell r="A2027">
            <v>410010204</v>
          </cell>
          <cell r="B2027" t="str">
            <v>INT. INC. - TERM LOANS EDUCARE</v>
          </cell>
          <cell r="C2027">
            <v>0</v>
          </cell>
          <cell r="D2027">
            <v>0</v>
          </cell>
          <cell r="E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</row>
        <row r="2028">
          <cell r="A2028">
            <v>410010205</v>
          </cell>
          <cell r="B2028" t="str">
            <v>INT. INC. - RETAIL  PERSONAL LOA</v>
          </cell>
          <cell r="C2028">
            <v>5037806075.4499998</v>
          </cell>
          <cell r="D2028">
            <v>0</v>
          </cell>
          <cell r="E2028">
            <v>5037806075.4499998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5037806075.4499998</v>
          </cell>
          <cell r="T2028">
            <v>5037806075.4499998</v>
          </cell>
        </row>
        <row r="2029">
          <cell r="A2029">
            <v>410010206</v>
          </cell>
          <cell r="B2029" t="str">
            <v>INT. INC. - RETAIL  AUTO LOAN (</v>
          </cell>
          <cell r="C2029">
            <v>113063087.67</v>
          </cell>
          <cell r="D2029">
            <v>0</v>
          </cell>
          <cell r="E2029">
            <v>113063087.67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113063087.67</v>
          </cell>
          <cell r="T2029">
            <v>113063087.67</v>
          </cell>
        </row>
        <row r="2030">
          <cell r="A2030">
            <v>410010207</v>
          </cell>
          <cell r="B2030" t="str">
            <v>INT. INC. - LIFESTYLE  - LOAN AC</v>
          </cell>
          <cell r="C2030">
            <v>4061202.73</v>
          </cell>
          <cell r="D2030">
            <v>0</v>
          </cell>
          <cell r="E2030">
            <v>4061202.73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4061202.73</v>
          </cell>
          <cell r="T2030">
            <v>4061202.73</v>
          </cell>
        </row>
        <row r="2031">
          <cell r="A2031">
            <v>410010208</v>
          </cell>
          <cell r="B2031" t="str">
            <v>INT. INC. - TERM LOAN MORTGAGES</v>
          </cell>
          <cell r="C2031">
            <v>68418002.930000007</v>
          </cell>
          <cell r="D2031">
            <v>0</v>
          </cell>
          <cell r="E2031">
            <v>68418002.930000007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68418002.930000007</v>
          </cell>
          <cell r="T2031">
            <v>68418002.930000007</v>
          </cell>
        </row>
        <row r="2032">
          <cell r="A2032">
            <v>410010209</v>
          </cell>
          <cell r="B2032" t="str">
            <v>INT. INC. - RETAIL  AUTO LOAN (B</v>
          </cell>
          <cell r="C2032">
            <v>24294741.41</v>
          </cell>
          <cell r="D2032">
            <v>0</v>
          </cell>
          <cell r="E2032">
            <v>24294741.41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24294741.41</v>
          </cell>
          <cell r="T2032">
            <v>24294741.41</v>
          </cell>
        </row>
        <row r="2033">
          <cell r="A2033">
            <v>410010210</v>
          </cell>
          <cell r="B2033" t="str">
            <v>INT. INC. - TERM LOAN HOLIDAY</v>
          </cell>
          <cell r="C2033">
            <v>0</v>
          </cell>
          <cell r="D2033">
            <v>0</v>
          </cell>
          <cell r="E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</row>
        <row r="2034">
          <cell r="A2034">
            <v>410010211</v>
          </cell>
          <cell r="B2034" t="str">
            <v>INT. INC. - TERM LOAN RETAIL HOM</v>
          </cell>
          <cell r="C2034">
            <v>6178027.3899999997</v>
          </cell>
          <cell r="D2034">
            <v>0</v>
          </cell>
          <cell r="E2034">
            <v>6178027.3899999997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6178027.3899999997</v>
          </cell>
          <cell r="T2034">
            <v>6178027.3899999997</v>
          </cell>
        </row>
        <row r="2035">
          <cell r="A2035">
            <v>410010212</v>
          </cell>
          <cell r="B2035" t="str">
            <v>INT. INC. - TERM LOAN TRAVEL AGE</v>
          </cell>
          <cell r="C2035">
            <v>0</v>
          </cell>
          <cell r="D2035">
            <v>0</v>
          </cell>
          <cell r="E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</row>
        <row r="2036">
          <cell r="A2036">
            <v>410010214</v>
          </cell>
          <cell r="B2036" t="str">
            <v>CUSTOMER LAND&amp;HSE CONSTR.(CULD)</v>
          </cell>
          <cell r="C2036">
            <v>0</v>
          </cell>
          <cell r="D2036">
            <v>0</v>
          </cell>
          <cell r="E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</row>
        <row r="2037">
          <cell r="A2037">
            <v>410010216</v>
          </cell>
          <cell r="B2037" t="str">
            <v>INT. INC. - RETAIL SPECIAL TERM</v>
          </cell>
          <cell r="C2037">
            <v>95245363.75</v>
          </cell>
          <cell r="D2037">
            <v>0</v>
          </cell>
          <cell r="E2037">
            <v>95245363.75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95245363.75</v>
          </cell>
          <cell r="T2037">
            <v>95245363.75</v>
          </cell>
        </row>
        <row r="2038">
          <cell r="A2038">
            <v>410010219</v>
          </cell>
          <cell r="B2038" t="str">
            <v>INT. INC. - TERM LOAN- HEALTH LO</v>
          </cell>
          <cell r="C2038">
            <v>9903502.8599999994</v>
          </cell>
          <cell r="D2038">
            <v>0</v>
          </cell>
          <cell r="E2038">
            <v>9903502.8599999994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9903502.8599999994</v>
          </cell>
          <cell r="T2038">
            <v>9903502.8599999994</v>
          </cell>
        </row>
        <row r="2039">
          <cell r="A2039">
            <v>410010220</v>
          </cell>
          <cell r="B2039" t="str">
            <v>INT. INC. -  TERM LOAN- HEALTH L</v>
          </cell>
          <cell r="C2039">
            <v>807417.65</v>
          </cell>
          <cell r="D2039">
            <v>0</v>
          </cell>
          <cell r="E2039">
            <v>807417.65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807417.65</v>
          </cell>
          <cell r="T2039">
            <v>807417.65</v>
          </cell>
        </row>
        <row r="2040">
          <cell r="A2040">
            <v>410010251</v>
          </cell>
          <cell r="B2040" t="str">
            <v>INT. INC. -RETAIL SBG - ASSET FI</v>
          </cell>
          <cell r="C2040">
            <v>0</v>
          </cell>
          <cell r="D2040">
            <v>0</v>
          </cell>
          <cell r="E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</row>
        <row r="2041">
          <cell r="A2041">
            <v>410010253</v>
          </cell>
          <cell r="B2041" t="str">
            <v>INT. INC. -RETAIL SBG - INVOICE</v>
          </cell>
          <cell r="C2041">
            <v>0</v>
          </cell>
          <cell r="D2041">
            <v>0</v>
          </cell>
          <cell r="E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</row>
        <row r="2042">
          <cell r="A2042">
            <v>410010255</v>
          </cell>
          <cell r="B2042" t="str">
            <v>INT. INC. -RETAIL SBG - BRIDGING</v>
          </cell>
          <cell r="C2042">
            <v>0</v>
          </cell>
          <cell r="D2042">
            <v>0</v>
          </cell>
          <cell r="E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</row>
        <row r="2043">
          <cell r="A2043">
            <v>410010256</v>
          </cell>
          <cell r="B2043" t="str">
            <v>INT. INC. -RETAIL SBG - CONTRACT</v>
          </cell>
          <cell r="C2043">
            <v>0</v>
          </cell>
          <cell r="D2043">
            <v>0</v>
          </cell>
          <cell r="E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</row>
        <row r="2044">
          <cell r="A2044">
            <v>410010259</v>
          </cell>
          <cell r="B2044" t="str">
            <v>INT. INC. -RETAIL SBG - TERM LOA</v>
          </cell>
          <cell r="C2044">
            <v>61034.25</v>
          </cell>
          <cell r="D2044">
            <v>0</v>
          </cell>
          <cell r="E2044">
            <v>61034.25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61034.25</v>
          </cell>
          <cell r="T2044">
            <v>61034.25</v>
          </cell>
        </row>
        <row r="2045">
          <cell r="A2045">
            <v>410010260</v>
          </cell>
          <cell r="B2045" t="str">
            <v>INT. INC. - RETAIL SBG - SSA ASS</v>
          </cell>
          <cell r="C2045">
            <v>29638739.960000001</v>
          </cell>
          <cell r="D2045">
            <v>0</v>
          </cell>
          <cell r="E2045">
            <v>29638739.960000001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29638739.960000001</v>
          </cell>
          <cell r="T2045">
            <v>29638739.960000001</v>
          </cell>
        </row>
        <row r="2046">
          <cell r="A2046">
            <v>410010261</v>
          </cell>
          <cell r="B2046" t="str">
            <v>INT. INC. - RETAIL SBG - SSA SHO</v>
          </cell>
          <cell r="C2046">
            <v>46696965.630000003</v>
          </cell>
          <cell r="D2046">
            <v>0</v>
          </cell>
          <cell r="E2046">
            <v>46696965.630000003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46696965.630000003</v>
          </cell>
          <cell r="T2046">
            <v>46696965.630000003</v>
          </cell>
        </row>
        <row r="2047">
          <cell r="A2047">
            <v>410010262</v>
          </cell>
          <cell r="B2047" t="str">
            <v>INT. INC. - SBG / CBN- MSMEDF TE</v>
          </cell>
          <cell r="C2047">
            <v>0</v>
          </cell>
          <cell r="D2047">
            <v>0</v>
          </cell>
          <cell r="E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</row>
        <row r="2048">
          <cell r="A2048">
            <v>410010264</v>
          </cell>
          <cell r="B2048" t="str">
            <v>INT. INC. -RETAIL SBG - INSTALME</v>
          </cell>
          <cell r="C2048">
            <v>0</v>
          </cell>
          <cell r="D2048">
            <v>0</v>
          </cell>
          <cell r="E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</row>
        <row r="2049">
          <cell r="A2049">
            <v>410010265</v>
          </cell>
          <cell r="B2049" t="str">
            <v>INT. INC. - RETAIL SBG - SSA ADV</v>
          </cell>
          <cell r="C2049">
            <v>0</v>
          </cell>
          <cell r="D2049">
            <v>0</v>
          </cell>
          <cell r="E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</row>
        <row r="2050">
          <cell r="A2050">
            <v>410010269</v>
          </cell>
          <cell r="B2050" t="str">
            <v>INT. INC. - BUSINESS LOAN TERM L</v>
          </cell>
          <cell r="C2050">
            <v>481849.69</v>
          </cell>
          <cell r="D2050">
            <v>0</v>
          </cell>
          <cell r="E2050">
            <v>481849.69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481849.69</v>
          </cell>
          <cell r="T2050">
            <v>481849.69</v>
          </cell>
        </row>
        <row r="2051">
          <cell r="A2051">
            <v>410010306</v>
          </cell>
          <cell r="B2051" t="str">
            <v>INT INCOME COOP PUBLIC SEC (CSPO</v>
          </cell>
          <cell r="C2051">
            <v>0</v>
          </cell>
          <cell r="D2051">
            <v>0</v>
          </cell>
          <cell r="E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</row>
        <row r="2052">
          <cell r="A2052">
            <v>410010401</v>
          </cell>
          <cell r="B2052" t="str">
            <v>INT. INC. - FOREIGN LOANS CORPOR</v>
          </cell>
          <cell r="C2052">
            <v>14247705450.65</v>
          </cell>
          <cell r="D2052">
            <v>0</v>
          </cell>
          <cell r="E2052">
            <v>14247705450.65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14247705450.65</v>
          </cell>
          <cell r="T2052">
            <v>14247705450.65</v>
          </cell>
        </row>
        <row r="2053">
          <cell r="A2053">
            <v>410020102</v>
          </cell>
          <cell r="B2053" t="str">
            <v>INT. INC. - ADVANCES CORPORATE B</v>
          </cell>
          <cell r="C2053">
            <v>281524986.30000001</v>
          </cell>
          <cell r="D2053">
            <v>0</v>
          </cell>
          <cell r="E2053">
            <v>281524986.30000001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281524986.30000001</v>
          </cell>
          <cell r="T2053">
            <v>281524986.30000001</v>
          </cell>
        </row>
        <row r="2054">
          <cell r="A2054">
            <v>410020103</v>
          </cell>
          <cell r="B2054" t="str">
            <v>INT. INC. - CONTRACT FINANCE(CTF</v>
          </cell>
          <cell r="C2054">
            <v>764494037.73000002</v>
          </cell>
          <cell r="D2054">
            <v>0</v>
          </cell>
          <cell r="E2054">
            <v>764494037.73000002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764494037.73000002</v>
          </cell>
          <cell r="T2054">
            <v>764494037.73000002</v>
          </cell>
        </row>
        <row r="2055">
          <cell r="A2055">
            <v>410020104</v>
          </cell>
          <cell r="B2055" t="str">
            <v>INT. INC. - LPO FINANCE (LPOF)-</v>
          </cell>
          <cell r="C2055">
            <v>371809056.93000001</v>
          </cell>
          <cell r="D2055">
            <v>0</v>
          </cell>
          <cell r="E2055">
            <v>371809056.93000001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371809056.93000001</v>
          </cell>
          <cell r="T2055">
            <v>371809056.93000001</v>
          </cell>
        </row>
        <row r="2056">
          <cell r="A2056">
            <v>410020105</v>
          </cell>
          <cell r="B2056" t="str">
            <v>INT. INC. - INVOICE DISCOUNTING(</v>
          </cell>
          <cell r="C2056">
            <v>847402172.62</v>
          </cell>
          <cell r="D2056">
            <v>0</v>
          </cell>
          <cell r="E2056">
            <v>847402172.62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847402172.62</v>
          </cell>
          <cell r="T2056">
            <v>847402172.62</v>
          </cell>
        </row>
        <row r="2057">
          <cell r="A2057">
            <v>410020107</v>
          </cell>
          <cell r="B2057" t="str">
            <v>INT. INC. - IMPORT FINANCE(IMPF)</v>
          </cell>
          <cell r="C2057">
            <v>829769907.54999995</v>
          </cell>
          <cell r="D2057">
            <v>0</v>
          </cell>
          <cell r="E2057">
            <v>829769907.54999995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829769907.54999995</v>
          </cell>
          <cell r="T2057">
            <v>829769907.54999995</v>
          </cell>
        </row>
        <row r="2058">
          <cell r="A2058" t="str">
            <v>_x0012_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</row>
        <row r="2059"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</row>
        <row r="2060">
          <cell r="C2060" t="str">
            <v>Polaris Bank Limited, N</v>
          </cell>
          <cell r="D2060" t="str">
            <v>igeria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</row>
        <row r="2061">
          <cell r="C2061" t="str">
            <v>** Consolidated Balance Shee</v>
          </cell>
          <cell r="D2061" t="str">
            <v>t CBN **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</row>
        <row r="2062"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</row>
        <row r="2063">
          <cell r="C2063" t="str">
            <v>As on :     31-OCT-2025</v>
          </cell>
          <cell r="E2063" t="str">
            <v>Page   :   37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</row>
        <row r="2064"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</row>
        <row r="2065">
          <cell r="A2065" t="str">
            <v>User Id :</v>
          </cell>
          <cell r="B2065" t="str">
            <v>SYSTEM</v>
          </cell>
          <cell r="C2065" t="str">
            <v>Date 1 Time :     01-NOV-2025</v>
          </cell>
          <cell r="D2065">
            <v>0.21625000000000003</v>
          </cell>
          <cell r="E2065" t="str">
            <v>Module :   GL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</row>
        <row r="2066">
          <cell r="A2066" t="str">
            <v>----------</v>
          </cell>
          <cell r="B2066" t="str">
            <v>----------------------------------------</v>
          </cell>
          <cell r="C2066" t="str">
            <v>------------------------------</v>
          </cell>
          <cell r="D2066" t="str">
            <v>------------------------------</v>
          </cell>
          <cell r="E2066" t="str">
            <v>----------------------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</row>
        <row r="2067">
          <cell r="A2067" t="str">
            <v>GL Code</v>
          </cell>
          <cell r="B2067" t="str">
            <v>Description</v>
          </cell>
          <cell r="C2067" t="str">
            <v>LCY Amount</v>
          </cell>
          <cell r="D2067" t="str">
            <v>FCY Amount (Lcy Eq)</v>
          </cell>
          <cell r="E2067" t="str">
            <v>Total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</row>
        <row r="2068"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</row>
        <row r="2069">
          <cell r="A2069" t="str">
            <v>----------</v>
          </cell>
          <cell r="B2069" t="str">
            <v>----------------------------------------</v>
          </cell>
          <cell r="C2069" t="str">
            <v>------------------------------</v>
          </cell>
          <cell r="D2069" t="str">
            <v>------------------------------</v>
          </cell>
          <cell r="E2069" t="str">
            <v>----------------------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</row>
        <row r="2070">
          <cell r="A2070" t="str">
            <v>Income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</row>
        <row r="2071"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</row>
        <row r="2072">
          <cell r="A2072">
            <v>410020109</v>
          </cell>
          <cell r="B2072" t="str">
            <v>INT. INC. - STOCK FINANCE (STFI)</v>
          </cell>
          <cell r="C2072">
            <v>0</v>
          </cell>
          <cell r="D2072">
            <v>0</v>
          </cell>
          <cell r="E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</row>
        <row r="2073">
          <cell r="A2073">
            <v>410020110</v>
          </cell>
          <cell r="B2073" t="str">
            <v>INT. INC. - ADVANCE WORKING CAPI</v>
          </cell>
          <cell r="C2073">
            <v>0</v>
          </cell>
          <cell r="D2073">
            <v>0</v>
          </cell>
          <cell r="E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</row>
        <row r="2074">
          <cell r="A2074">
            <v>410020111</v>
          </cell>
          <cell r="B2074" t="str">
            <v>INT. INC. - ADVANCE BRIDGING FIN</v>
          </cell>
          <cell r="C2074">
            <v>2496541275.6999998</v>
          </cell>
          <cell r="D2074">
            <v>0</v>
          </cell>
          <cell r="E2074">
            <v>2496541275.6999998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2496541275.6999998</v>
          </cell>
          <cell r="T2074">
            <v>2496541275.6999998</v>
          </cell>
        </row>
        <row r="2075">
          <cell r="A2075">
            <v>410020112</v>
          </cell>
          <cell r="B2075" t="str">
            <v>INT. INC. - ADVANCE - CBN AGRICU</v>
          </cell>
          <cell r="C2075">
            <v>0</v>
          </cell>
          <cell r="D2075">
            <v>0</v>
          </cell>
          <cell r="E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</row>
        <row r="2076">
          <cell r="A2076">
            <v>410020115</v>
          </cell>
          <cell r="B2076" t="str">
            <v>INT. INC. - ADVANCE WORKING CAPI</v>
          </cell>
          <cell r="C2076">
            <v>13720830253.209999</v>
          </cell>
          <cell r="D2076">
            <v>0</v>
          </cell>
          <cell r="E2076">
            <v>13720830253.209999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13720830253.209999</v>
          </cell>
          <cell r="T2076">
            <v>13720830253.209999</v>
          </cell>
        </row>
        <row r="2077">
          <cell r="A2077">
            <v>410020116</v>
          </cell>
          <cell r="B2077" t="str">
            <v>INT. INC.-CLEANLINE LC - POSITIO</v>
          </cell>
          <cell r="C2077">
            <v>804455049.02999997</v>
          </cell>
          <cell r="D2077">
            <v>0</v>
          </cell>
          <cell r="E2077">
            <v>804455049.02999997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804455049.02999997</v>
          </cell>
          <cell r="T2077">
            <v>804455049.02999997</v>
          </cell>
        </row>
        <row r="2078">
          <cell r="A2078">
            <v>410020117</v>
          </cell>
          <cell r="B2078" t="str">
            <v>INT. INC. - ADVANCES</v>
          </cell>
          <cell r="C2078">
            <v>42759177.950000003</v>
          </cell>
          <cell r="D2078">
            <v>0</v>
          </cell>
          <cell r="E2078">
            <v>42759177.950000003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42759177.950000003</v>
          </cell>
          <cell r="T2078">
            <v>42759177.950000003</v>
          </cell>
        </row>
        <row r="2079">
          <cell r="A2079">
            <v>410020201</v>
          </cell>
          <cell r="B2079" t="str">
            <v>INT. INC. - ADV   RETAIL &amp; CONSU</v>
          </cell>
          <cell r="C2079">
            <v>0</v>
          </cell>
          <cell r="D2079">
            <v>0</v>
          </cell>
          <cell r="E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</row>
        <row r="2080">
          <cell r="A2080">
            <v>410020202</v>
          </cell>
          <cell r="B2080" t="str">
            <v>INT. INC. - POLARIS EDUCARE - PO</v>
          </cell>
          <cell r="C2080">
            <v>10620901.33</v>
          </cell>
          <cell r="D2080">
            <v>0</v>
          </cell>
          <cell r="E2080">
            <v>10620901.33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10620901.33</v>
          </cell>
          <cell r="T2080">
            <v>10620901.33</v>
          </cell>
        </row>
        <row r="2081">
          <cell r="A2081">
            <v>410020203</v>
          </cell>
          <cell r="B2081" t="str">
            <v>INT. INC. - RETAIL SBG ADVANCE -</v>
          </cell>
          <cell r="C2081">
            <v>0</v>
          </cell>
          <cell r="D2081">
            <v>0</v>
          </cell>
          <cell r="E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</row>
        <row r="2082">
          <cell r="A2082">
            <v>410030100</v>
          </cell>
          <cell r="B2082" t="str">
            <v>INT. INC. - ADV UNDER LEASE   CO</v>
          </cell>
          <cell r="C2082">
            <v>316456726.01999998</v>
          </cell>
          <cell r="D2082">
            <v>0</v>
          </cell>
          <cell r="E2082">
            <v>316456726.01999998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316456726.01999998</v>
          </cell>
          <cell r="T2082">
            <v>316456726.01999998</v>
          </cell>
        </row>
        <row r="2083">
          <cell r="A2083">
            <v>410040101</v>
          </cell>
          <cell r="B2083" t="str">
            <v>INT. INC. - OVERDRAFTS   STD CUR</v>
          </cell>
          <cell r="C2083">
            <v>17705843611.360001</v>
          </cell>
          <cell r="D2083">
            <v>0</v>
          </cell>
          <cell r="E2083">
            <v>17705843611.360001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17705843611.360001</v>
          </cell>
          <cell r="T2083">
            <v>17705843611.360001</v>
          </cell>
        </row>
        <row r="2084">
          <cell r="A2084">
            <v>410040105</v>
          </cell>
          <cell r="B2084" t="str">
            <v>INT. INC.  OVERDRAFT - POLARISXC</v>
          </cell>
          <cell r="C2084">
            <v>0</v>
          </cell>
          <cell r="D2084">
            <v>0</v>
          </cell>
          <cell r="E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</row>
        <row r="2085">
          <cell r="A2085">
            <v>410040106</v>
          </cell>
          <cell r="B2085" t="str">
            <v>INT. INC.  OVERDRAFT - POLARIS B</v>
          </cell>
          <cell r="C2085">
            <v>0</v>
          </cell>
          <cell r="D2085">
            <v>0</v>
          </cell>
          <cell r="E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</row>
        <row r="2086">
          <cell r="A2086">
            <v>410040201</v>
          </cell>
          <cell r="B2086" t="str">
            <v>INT. INC. - OVERDRAFTS   STD CUR</v>
          </cell>
          <cell r="C2086">
            <v>267324347.13999999</v>
          </cell>
          <cell r="D2086">
            <v>0</v>
          </cell>
          <cell r="E2086">
            <v>267324347.13999999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267324347.13999999</v>
          </cell>
          <cell r="T2086">
            <v>267324347.13999999</v>
          </cell>
        </row>
        <row r="2087">
          <cell r="A2087">
            <v>410040202</v>
          </cell>
          <cell r="B2087" t="str">
            <v>INT. INC. - OVERDRAFTS   STAFF A</v>
          </cell>
          <cell r="C2087">
            <v>12000029.4</v>
          </cell>
          <cell r="D2087">
            <v>0</v>
          </cell>
          <cell r="E2087">
            <v>12000029.4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12000029.4</v>
          </cell>
          <cell r="T2087">
            <v>12000029.4</v>
          </cell>
        </row>
        <row r="2088">
          <cell r="A2088">
            <v>410040203</v>
          </cell>
          <cell r="B2088" t="str">
            <v>INT. INC. - OVERDRAFTS POLARIS G</v>
          </cell>
          <cell r="C2088">
            <v>20989.02</v>
          </cell>
          <cell r="D2088">
            <v>0</v>
          </cell>
          <cell r="E2088">
            <v>20989.02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20989.02</v>
          </cell>
          <cell r="T2088">
            <v>20989.02</v>
          </cell>
        </row>
        <row r="2089">
          <cell r="A2089">
            <v>410040204</v>
          </cell>
          <cell r="B2089" t="str">
            <v>INT. INC. - POLARISCARD SALARY C</v>
          </cell>
          <cell r="C2089">
            <v>0</v>
          </cell>
          <cell r="D2089">
            <v>0</v>
          </cell>
          <cell r="E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</row>
        <row r="2090">
          <cell r="A2090">
            <v>410040205</v>
          </cell>
          <cell r="B2090" t="str">
            <v>POLARIS CREDIT CARD RELATED FEE</v>
          </cell>
          <cell r="C2090">
            <v>40611415.119999997</v>
          </cell>
          <cell r="D2090">
            <v>0</v>
          </cell>
          <cell r="E2090">
            <v>40611415.119999997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40611415.119999997</v>
          </cell>
          <cell r="T2090">
            <v>40611415.119999997</v>
          </cell>
        </row>
        <row r="2091">
          <cell r="A2091">
            <v>410040206</v>
          </cell>
          <cell r="B2091" t="str">
            <v>INT. INC. - OVERDRAFTS   STD  SA</v>
          </cell>
          <cell r="C2091">
            <v>51867592.469999999</v>
          </cell>
          <cell r="D2091">
            <v>0</v>
          </cell>
          <cell r="E2091">
            <v>51867592.469999999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51867592.469999999</v>
          </cell>
          <cell r="T2091">
            <v>51867592.469999999</v>
          </cell>
        </row>
        <row r="2092">
          <cell r="A2092">
            <v>410040208</v>
          </cell>
          <cell r="B2092" t="str">
            <v>INT. INC. - OVERDRAFT SUREPADI L</v>
          </cell>
          <cell r="C2092">
            <v>74099.83</v>
          </cell>
          <cell r="D2092">
            <v>0</v>
          </cell>
          <cell r="E2092">
            <v>74099.83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74099.83</v>
          </cell>
          <cell r="T2092">
            <v>74099.83</v>
          </cell>
        </row>
        <row r="2093">
          <cell r="A2093">
            <v>410040212</v>
          </cell>
          <cell r="B2093" t="str">
            <v>INT. INC.  OVERDRAFT - STANDARD</v>
          </cell>
          <cell r="C2093">
            <v>0</v>
          </cell>
          <cell r="D2093">
            <v>0</v>
          </cell>
          <cell r="E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</row>
        <row r="2094">
          <cell r="A2094">
            <v>410040301</v>
          </cell>
          <cell r="B2094" t="str">
            <v>INT. INC. - OVERDRAFT   FEDERAL</v>
          </cell>
          <cell r="C2094">
            <v>9168780.0899999999</v>
          </cell>
          <cell r="D2094">
            <v>0</v>
          </cell>
          <cell r="E2094">
            <v>9168780.0899999999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9168780.0899999999</v>
          </cell>
          <cell r="T2094">
            <v>9168780.0899999999</v>
          </cell>
        </row>
        <row r="2095">
          <cell r="A2095">
            <v>410040302</v>
          </cell>
          <cell r="B2095" t="str">
            <v>INT. INC. - OVERDRAFT   STATE GO</v>
          </cell>
          <cell r="C2095">
            <v>2069332.3</v>
          </cell>
          <cell r="D2095">
            <v>0</v>
          </cell>
          <cell r="E2095">
            <v>2069332.3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2069332.3</v>
          </cell>
          <cell r="T2095">
            <v>2069332.3</v>
          </cell>
        </row>
        <row r="2096">
          <cell r="A2096">
            <v>410040303</v>
          </cell>
          <cell r="B2096" t="str">
            <v>INT. INC. - OVERDRAFT   LOCAL GO</v>
          </cell>
          <cell r="C2096">
            <v>38682.32</v>
          </cell>
          <cell r="D2096">
            <v>0</v>
          </cell>
          <cell r="E2096">
            <v>38682.32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38682.32</v>
          </cell>
          <cell r="T2096">
            <v>38682.32</v>
          </cell>
        </row>
        <row r="2097">
          <cell r="A2097">
            <v>410040304</v>
          </cell>
          <cell r="B2097" t="str">
            <v>INT. INC. - OVERDRAFT   FEDERAL</v>
          </cell>
          <cell r="C2097">
            <v>4686603.5</v>
          </cell>
          <cell r="D2097">
            <v>0</v>
          </cell>
          <cell r="E2097">
            <v>4686603.5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4686603.5</v>
          </cell>
          <cell r="T2097">
            <v>4686603.5</v>
          </cell>
        </row>
        <row r="2098">
          <cell r="A2098">
            <v>410040305</v>
          </cell>
          <cell r="B2098" t="str">
            <v>INT. INC. - OVERDRAFT   STATE PA</v>
          </cell>
          <cell r="C2098">
            <v>3953.09</v>
          </cell>
          <cell r="D2098">
            <v>0</v>
          </cell>
          <cell r="E2098">
            <v>3953.09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3953.09</v>
          </cell>
          <cell r="T2098">
            <v>3953.09</v>
          </cell>
        </row>
        <row r="2099">
          <cell r="A2099">
            <v>410050110</v>
          </cell>
          <cell r="B2099" t="str">
            <v>INT. INC. - STAFF LOANS   PERSON</v>
          </cell>
          <cell r="C2099">
            <v>379433.77</v>
          </cell>
          <cell r="D2099">
            <v>0</v>
          </cell>
          <cell r="E2099">
            <v>379433.77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379433.77</v>
          </cell>
          <cell r="T2099">
            <v>379433.77</v>
          </cell>
        </row>
        <row r="2100">
          <cell r="A2100">
            <v>410050120</v>
          </cell>
          <cell r="B2100" t="str">
            <v>INT. INC. - STAFF LOAN   MORTGAG</v>
          </cell>
          <cell r="C2100">
            <v>11235038.99</v>
          </cell>
          <cell r="D2100">
            <v>0</v>
          </cell>
          <cell r="E2100">
            <v>11235038.99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11235038.99</v>
          </cell>
          <cell r="T2100">
            <v>11235038.99</v>
          </cell>
        </row>
        <row r="2101">
          <cell r="A2101">
            <v>410050130</v>
          </cell>
          <cell r="B2101" t="str">
            <v>INT. INC. - STAFF LOANS   CAR LO</v>
          </cell>
          <cell r="C2101">
            <v>0</v>
          </cell>
          <cell r="D2101">
            <v>0</v>
          </cell>
          <cell r="E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</row>
        <row r="2102">
          <cell r="A2102">
            <v>410050140</v>
          </cell>
          <cell r="B2102" t="str">
            <v>INT. INC. - STAFF LOANS   SHARE</v>
          </cell>
          <cell r="C2102">
            <v>0</v>
          </cell>
          <cell r="D2102">
            <v>0</v>
          </cell>
          <cell r="E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</row>
        <row r="2103">
          <cell r="A2103">
            <v>410060100</v>
          </cell>
          <cell r="B2103" t="str">
            <v>INT. INC.á CORPORATE BONDSá (AMO</v>
          </cell>
          <cell r="C2103">
            <v>563143199.88999999</v>
          </cell>
          <cell r="D2103">
            <v>0</v>
          </cell>
          <cell r="E2103">
            <v>563143199.88999999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563143199.88999999</v>
          </cell>
          <cell r="T2103">
            <v>563143199.88999999</v>
          </cell>
        </row>
        <row r="2104">
          <cell r="A2104">
            <v>410060110</v>
          </cell>
          <cell r="B2104" t="str">
            <v>INT. INC.  PROMISORY NOTES A/C (</v>
          </cell>
          <cell r="C2104">
            <v>1362691274.8</v>
          </cell>
          <cell r="D2104">
            <v>0</v>
          </cell>
          <cell r="E2104">
            <v>1362691274.8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1362691274.8</v>
          </cell>
          <cell r="T2104">
            <v>1362691274.8</v>
          </cell>
        </row>
        <row r="2105">
          <cell r="A2105">
            <v>410060200</v>
          </cell>
          <cell r="B2105" t="str">
            <v>INT. INC.á STATE GOVERNMENT BOND</v>
          </cell>
          <cell r="C2105">
            <v>2929865144.3699999</v>
          </cell>
          <cell r="D2105">
            <v>0</v>
          </cell>
          <cell r="E2105">
            <v>2929865144.3699999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2929865144.3699999</v>
          </cell>
          <cell r="T2105">
            <v>2929865144.3699999</v>
          </cell>
        </row>
        <row r="2106">
          <cell r="A2106">
            <v>410060300</v>
          </cell>
          <cell r="B2106" t="str">
            <v>INT. INC.á TREASURY BILLSá (AMOR</v>
          </cell>
          <cell r="C2106">
            <v>83962843640.020004</v>
          </cell>
          <cell r="D2106">
            <v>0</v>
          </cell>
          <cell r="E2106">
            <v>83962843640.020004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83962843640.020004</v>
          </cell>
          <cell r="T2106">
            <v>83962843640.020004</v>
          </cell>
        </row>
        <row r="2107">
          <cell r="A2107">
            <v>410060301</v>
          </cell>
          <cell r="B2107" t="str">
            <v>INT. INC.  COMMERCIAL PAPERS A/C</v>
          </cell>
          <cell r="C2107">
            <v>234944956.27000001</v>
          </cell>
          <cell r="D2107">
            <v>0</v>
          </cell>
          <cell r="E2107">
            <v>234944956.27000001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234944956.27000001</v>
          </cell>
          <cell r="T2107">
            <v>234944956.27000001</v>
          </cell>
        </row>
        <row r="2108">
          <cell r="A2108">
            <v>410060400</v>
          </cell>
          <cell r="B2108" t="str">
            <v>INT. INC. AMCON</v>
          </cell>
          <cell r="C2108">
            <v>18538286337.82</v>
          </cell>
          <cell r="D2108">
            <v>0</v>
          </cell>
          <cell r="E2108">
            <v>18538286337.82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18538286337.82</v>
          </cell>
          <cell r="T2108">
            <v>18538286337.82</v>
          </cell>
        </row>
        <row r="2109">
          <cell r="A2109">
            <v>410060500</v>
          </cell>
          <cell r="B2109" t="str">
            <v>INT. INC. áTREASURY BILLS HELD F</v>
          </cell>
          <cell r="C2109">
            <v>3756622239.23</v>
          </cell>
          <cell r="D2109">
            <v>0</v>
          </cell>
          <cell r="E2109">
            <v>3756622239.23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3756622239.23</v>
          </cell>
          <cell r="T2109">
            <v>3756622239.23</v>
          </cell>
        </row>
        <row r="2110">
          <cell r="A2110">
            <v>410060600</v>
          </cell>
          <cell r="B2110" t="str">
            <v>INT. INC.á BONDS HELD FOR TRADIN</v>
          </cell>
          <cell r="C2110">
            <v>0</v>
          </cell>
          <cell r="D2110">
            <v>0</v>
          </cell>
          <cell r="E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</row>
        <row r="2111">
          <cell r="A2111">
            <v>410060701</v>
          </cell>
          <cell r="B2111" t="str">
            <v>INT. INC.  PROMISORY NOTES  A/C</v>
          </cell>
          <cell r="C2111">
            <v>34961245.869999997</v>
          </cell>
          <cell r="D2111">
            <v>0</v>
          </cell>
          <cell r="E2111">
            <v>34961245.869999997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34961245.869999997</v>
          </cell>
          <cell r="T2111">
            <v>34961245.869999997</v>
          </cell>
        </row>
        <row r="2112">
          <cell r="A2112">
            <v>410070110</v>
          </cell>
          <cell r="B2112" t="str">
            <v>INT. INC-INT.BANK PLCMTS-OVERNIG</v>
          </cell>
          <cell r="C2112">
            <v>0</v>
          </cell>
          <cell r="D2112">
            <v>0</v>
          </cell>
          <cell r="E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</row>
        <row r="2113">
          <cell r="A2113">
            <v>410070120</v>
          </cell>
          <cell r="B2113" t="str">
            <v>INT. INC-INT.BANK PLCMTS- CALL</v>
          </cell>
          <cell r="C2113">
            <v>6578204109.7399998</v>
          </cell>
          <cell r="D2113">
            <v>0</v>
          </cell>
          <cell r="E2113">
            <v>6578204109.7399998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6578204109.7399998</v>
          </cell>
          <cell r="T2113">
            <v>6578204109.7399998</v>
          </cell>
        </row>
        <row r="2114">
          <cell r="A2114">
            <v>410070130</v>
          </cell>
          <cell r="B2114" t="str">
            <v>INT. INC-INT.BANK PLCMTS- TIME</v>
          </cell>
          <cell r="C2114">
            <v>1280528593.9300001</v>
          </cell>
          <cell r="D2114">
            <v>0</v>
          </cell>
          <cell r="E2114">
            <v>1280528593.9300001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1280528593.9300001</v>
          </cell>
          <cell r="T2114">
            <v>1280528593.9300001</v>
          </cell>
        </row>
        <row r="2115">
          <cell r="A2115">
            <v>410070150</v>
          </cell>
          <cell r="B2115" t="str">
            <v>INT. INC-INT.BANK PLCMTS CALL-SE</v>
          </cell>
          <cell r="C2115">
            <v>0</v>
          </cell>
          <cell r="D2115">
            <v>0</v>
          </cell>
          <cell r="E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</row>
        <row r="2116">
          <cell r="A2116" t="str">
            <v>_x0012_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</row>
        <row r="2117"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</row>
        <row r="2118">
          <cell r="C2118" t="str">
            <v>Polaris Bank Limited, N</v>
          </cell>
          <cell r="D2118" t="str">
            <v>igeria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</row>
        <row r="2119">
          <cell r="C2119" t="str">
            <v>** Consolidated Balance Shee</v>
          </cell>
          <cell r="D2119" t="str">
            <v>t CBN **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</row>
        <row r="2120"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</row>
        <row r="2121">
          <cell r="C2121" t="str">
            <v>As on :     31-OCT-2025</v>
          </cell>
          <cell r="E2121" t="str">
            <v>Page   :   38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</row>
        <row r="2122"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</row>
        <row r="2123">
          <cell r="A2123" t="str">
            <v>User Id :</v>
          </cell>
          <cell r="B2123" t="str">
            <v>SYSTEM</v>
          </cell>
          <cell r="C2123" t="str">
            <v>Date 1 Time :     01-NOV-2025</v>
          </cell>
          <cell r="D2123">
            <v>0.21625000000000003</v>
          </cell>
          <cell r="E2123" t="str">
            <v>Module :   GL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</row>
        <row r="2124">
          <cell r="A2124" t="str">
            <v>----------</v>
          </cell>
          <cell r="B2124" t="str">
            <v>----------------------------------------</v>
          </cell>
          <cell r="C2124" t="str">
            <v>------------------------------</v>
          </cell>
          <cell r="D2124" t="str">
            <v>------------------------------</v>
          </cell>
          <cell r="E2124" t="str">
            <v>----------------------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</row>
        <row r="2125">
          <cell r="A2125" t="str">
            <v>GL Code</v>
          </cell>
          <cell r="B2125" t="str">
            <v>Description</v>
          </cell>
          <cell r="C2125" t="str">
            <v>LCY Amount</v>
          </cell>
          <cell r="D2125" t="str">
            <v>FCY Amount (Lcy Eq)</v>
          </cell>
          <cell r="E2125" t="str">
            <v>Total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</row>
        <row r="2126"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</row>
        <row r="2127">
          <cell r="A2127" t="str">
            <v>----------</v>
          </cell>
          <cell r="B2127" t="str">
            <v>----------------------------------------</v>
          </cell>
          <cell r="C2127" t="str">
            <v>------------------------------</v>
          </cell>
          <cell r="D2127" t="str">
            <v>------------------------------</v>
          </cell>
          <cell r="E2127" t="str">
            <v>----------------------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</row>
        <row r="2128">
          <cell r="A2128" t="str">
            <v>Income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</row>
        <row r="2129"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</row>
        <row r="2130">
          <cell r="A2130">
            <v>410070230</v>
          </cell>
          <cell r="B2130" t="str">
            <v>INT. INC. - PLACEMENTS WITH DISC</v>
          </cell>
          <cell r="C2130">
            <v>5034246.58</v>
          </cell>
          <cell r="D2130">
            <v>0</v>
          </cell>
          <cell r="E2130">
            <v>5034246.58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5034246.58</v>
          </cell>
          <cell r="T2130">
            <v>5034246.58</v>
          </cell>
        </row>
        <row r="2131">
          <cell r="A2131">
            <v>410070270</v>
          </cell>
          <cell r="B2131" t="str">
            <v>INT INC.-FIXED INC TRADING LINE</v>
          </cell>
          <cell r="C2131">
            <v>109720200.87</v>
          </cell>
          <cell r="D2131">
            <v>0</v>
          </cell>
          <cell r="E2131">
            <v>109720200.87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109720200.87</v>
          </cell>
          <cell r="T2131">
            <v>109720200.87</v>
          </cell>
        </row>
        <row r="2132">
          <cell r="A2132">
            <v>410080100</v>
          </cell>
          <cell r="B2132" t="str">
            <v>INC ON DOM A/CS   USD  252</v>
          </cell>
          <cell r="C2132">
            <v>0</v>
          </cell>
          <cell r="D2132">
            <v>0</v>
          </cell>
          <cell r="E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</row>
        <row r="2133">
          <cell r="A2133">
            <v>410080200</v>
          </cell>
          <cell r="B2133" t="str">
            <v>INC ON DOM A/CS   EUR  255</v>
          </cell>
          <cell r="C2133">
            <v>0</v>
          </cell>
          <cell r="D2133">
            <v>0</v>
          </cell>
          <cell r="E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</row>
        <row r="2134">
          <cell r="A2134">
            <v>410080300</v>
          </cell>
          <cell r="B2134" t="str">
            <v>POLARIS GLOBAL INCOME GL</v>
          </cell>
          <cell r="C2134">
            <v>0</v>
          </cell>
          <cell r="D2134">
            <v>0</v>
          </cell>
          <cell r="E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</row>
        <row r="2135">
          <cell r="A2135">
            <v>410080400</v>
          </cell>
          <cell r="B2135" t="str">
            <v>SBG- ACCOUNT MAINTENANCE INCOME</v>
          </cell>
          <cell r="C2135">
            <v>0</v>
          </cell>
          <cell r="D2135">
            <v>0</v>
          </cell>
          <cell r="E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</row>
        <row r="2136">
          <cell r="A2136">
            <v>410080501</v>
          </cell>
          <cell r="B2136" t="str">
            <v>FGN BONDS INCOME A/Cá (AMORTISED</v>
          </cell>
          <cell r="C2136">
            <v>33262799069.02</v>
          </cell>
          <cell r="D2136">
            <v>0</v>
          </cell>
          <cell r="E2136">
            <v>33262799069.02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33262799069.02</v>
          </cell>
          <cell r="T2136">
            <v>33262799069.02</v>
          </cell>
        </row>
        <row r="2137">
          <cell r="A2137">
            <v>410080502</v>
          </cell>
          <cell r="B2137" t="str">
            <v>FGN BONDS INT INCOME A/Cá (FVTPL</v>
          </cell>
          <cell r="C2137">
            <v>1509210408.73</v>
          </cell>
          <cell r="D2137">
            <v>0</v>
          </cell>
          <cell r="E2137">
            <v>1509210408.73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1509210408.73</v>
          </cell>
          <cell r="T2137">
            <v>1509210408.73</v>
          </cell>
        </row>
        <row r="2138">
          <cell r="A2138">
            <v>410080503</v>
          </cell>
          <cell r="B2138" t="str">
            <v>FGN BONDS INT INCOME A/Cáá (FVTO</v>
          </cell>
          <cell r="C2138">
            <v>0</v>
          </cell>
          <cell r="D2138">
            <v>0</v>
          </cell>
          <cell r="E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</row>
        <row r="2139">
          <cell r="A2139">
            <v>410080504</v>
          </cell>
          <cell r="B2139" t="str">
            <v>CORP BONDS INCOME A/Cá (AMORTISE</v>
          </cell>
          <cell r="C2139">
            <v>0</v>
          </cell>
          <cell r="D2139">
            <v>0</v>
          </cell>
          <cell r="E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</row>
        <row r="2140">
          <cell r="A2140">
            <v>410080507</v>
          </cell>
          <cell r="B2140" t="str">
            <v>EURO BONDS INCOME A/Cá (AMORTISE</v>
          </cell>
          <cell r="C2140">
            <v>188016343.21000001</v>
          </cell>
          <cell r="D2140">
            <v>0</v>
          </cell>
          <cell r="E2140">
            <v>188016343.21000001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913688793.528</v>
          </cell>
          <cell r="P2140">
            <v>0</v>
          </cell>
          <cell r="Q2140">
            <v>0</v>
          </cell>
          <cell r="R2140">
            <v>0</v>
          </cell>
          <cell r="S2140">
            <v>1101705136.7379999</v>
          </cell>
          <cell r="T2140">
            <v>1101705136.7379999</v>
          </cell>
        </row>
        <row r="2141">
          <cell r="A2141">
            <v>410080508</v>
          </cell>
          <cell r="B2141" t="str">
            <v>EURO BONDS INT INCOME A/Cá (FVTP</v>
          </cell>
          <cell r="C2141">
            <v>237644873.19999999</v>
          </cell>
          <cell r="D2141">
            <v>0</v>
          </cell>
          <cell r="E2141">
            <v>237644873.19999999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237644873.19999999</v>
          </cell>
          <cell r="T2141">
            <v>237644873.19999999</v>
          </cell>
        </row>
        <row r="2142">
          <cell r="A2142">
            <v>410080510</v>
          </cell>
          <cell r="B2142" t="str">
            <v>STATE GOVT BONDS INCOME A/Cá (AM</v>
          </cell>
          <cell r="C2142">
            <v>0</v>
          </cell>
          <cell r="D2142">
            <v>0</v>
          </cell>
          <cell r="E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</row>
        <row r="2143">
          <cell r="A2143">
            <v>410080513</v>
          </cell>
          <cell r="B2143" t="str">
            <v>EURO BONDS TRADING GAIN</v>
          </cell>
          <cell r="C2143">
            <v>188304479</v>
          </cell>
          <cell r="D2143">
            <v>0</v>
          </cell>
          <cell r="E2143">
            <v>188304479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188304479</v>
          </cell>
          <cell r="T2143">
            <v>188304479</v>
          </cell>
        </row>
        <row r="2144">
          <cell r="A2144">
            <v>410080514</v>
          </cell>
          <cell r="B2144" t="str">
            <v>INT INCOME T.BILLSáá (FVTOCI)</v>
          </cell>
          <cell r="C2144">
            <v>0</v>
          </cell>
          <cell r="D2144">
            <v>0</v>
          </cell>
          <cell r="E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</row>
        <row r="2145">
          <cell r="A2145">
            <v>410080517</v>
          </cell>
          <cell r="B2145" t="str">
            <v>FGN BONDS TRADING GAIN</v>
          </cell>
          <cell r="C2145">
            <v>16360800353.549999</v>
          </cell>
          <cell r="D2145">
            <v>0</v>
          </cell>
          <cell r="E2145">
            <v>16360800353.549999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16360800353.549999</v>
          </cell>
          <cell r="T2145">
            <v>16360800353.549999</v>
          </cell>
        </row>
        <row r="2146">
          <cell r="A2146">
            <v>410080519</v>
          </cell>
          <cell r="B2146" t="str">
            <v>T.BILLS TRADING GAIN</v>
          </cell>
          <cell r="C2146">
            <v>7204023262.8800001</v>
          </cell>
          <cell r="D2146">
            <v>0</v>
          </cell>
          <cell r="E2146">
            <v>7204023262.8800001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7204023262.8800001</v>
          </cell>
          <cell r="T2146">
            <v>7204023262.8800001</v>
          </cell>
        </row>
        <row r="2147">
          <cell r="A2147">
            <v>410080520</v>
          </cell>
          <cell r="B2147" t="str">
            <v>ZONE SWITCH INCOME GL</v>
          </cell>
          <cell r="C2147">
            <v>0</v>
          </cell>
          <cell r="D2147">
            <v>0</v>
          </cell>
          <cell r="E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</row>
        <row r="2148">
          <cell r="A2148">
            <v>410080521</v>
          </cell>
          <cell r="B2148" t="str">
            <v>COMMERCIAL PAPERS TRADING GAIN</v>
          </cell>
          <cell r="C2148">
            <v>0</v>
          </cell>
          <cell r="D2148">
            <v>0</v>
          </cell>
          <cell r="E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</row>
        <row r="2149">
          <cell r="A2149">
            <v>410080522</v>
          </cell>
          <cell r="B2149" t="str">
            <v>PROMISORY NOTES TRADING GAIN</v>
          </cell>
          <cell r="C2149">
            <v>463430530.51999998</v>
          </cell>
          <cell r="D2149">
            <v>0</v>
          </cell>
          <cell r="E2149">
            <v>463430530.51999998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463430530.51999998</v>
          </cell>
          <cell r="T2149">
            <v>463430530.51999998</v>
          </cell>
        </row>
        <row r="2150">
          <cell r="A2150">
            <v>420010010</v>
          </cell>
          <cell r="B2150" t="str">
            <v>MONITORING FEES</v>
          </cell>
          <cell r="C2150">
            <v>25461527.41</v>
          </cell>
          <cell r="D2150">
            <v>0</v>
          </cell>
          <cell r="E2150">
            <v>25461527.41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25461527.41</v>
          </cell>
          <cell r="T2150">
            <v>25461527.41</v>
          </cell>
        </row>
        <row r="2151">
          <cell r="A2151">
            <v>420010020</v>
          </cell>
          <cell r="B2151" t="str">
            <v>POS ISSUER FEE GL</v>
          </cell>
          <cell r="C2151">
            <v>270141955.26999998</v>
          </cell>
          <cell r="D2151">
            <v>0</v>
          </cell>
          <cell r="E2151">
            <v>270141955.26999998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270141955.26999998</v>
          </cell>
          <cell r="T2151">
            <v>270141955.26999998</v>
          </cell>
        </row>
        <row r="2152">
          <cell r="A2152">
            <v>420010030</v>
          </cell>
          <cell r="B2152" t="str">
            <v>POS DISCOUNT GL</v>
          </cell>
          <cell r="C2152">
            <v>0</v>
          </cell>
          <cell r="D2152">
            <v>0</v>
          </cell>
          <cell r="E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</row>
        <row r="2153">
          <cell r="A2153">
            <v>420010040</v>
          </cell>
          <cell r="B2153" t="str">
            <v>VISA FEE (NGN)</v>
          </cell>
          <cell r="C2153">
            <v>7606454.9000000004</v>
          </cell>
          <cell r="D2153">
            <v>0</v>
          </cell>
          <cell r="E2153">
            <v>7606454.9000000004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7606454.9000000004</v>
          </cell>
          <cell r="T2153">
            <v>7606454.9000000004</v>
          </cell>
        </row>
        <row r="2154">
          <cell r="A2154">
            <v>420010050</v>
          </cell>
          <cell r="B2154" t="str">
            <v>VISA FEE (USD)</v>
          </cell>
          <cell r="C2154">
            <v>398454279.75999999</v>
          </cell>
          <cell r="D2154">
            <v>0</v>
          </cell>
          <cell r="E2154">
            <v>398454279.75999999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398454279.75999999</v>
          </cell>
          <cell r="T2154">
            <v>398454279.75999999</v>
          </cell>
        </row>
        <row r="2155">
          <cell r="A2155">
            <v>420010060</v>
          </cell>
          <cell r="B2155" t="str">
            <v>VISA CARD FEES</v>
          </cell>
          <cell r="C2155">
            <v>0</v>
          </cell>
          <cell r="D2155">
            <v>0</v>
          </cell>
          <cell r="E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</row>
        <row r="2156">
          <cell r="A2156">
            <v>420010070</v>
          </cell>
          <cell r="B2156" t="str">
            <v>OTHER FEES &amp; INC</v>
          </cell>
          <cell r="C2156">
            <v>120101039.58</v>
          </cell>
          <cell r="D2156">
            <v>0</v>
          </cell>
          <cell r="E2156">
            <v>120101039.58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120101039.58</v>
          </cell>
          <cell r="T2156">
            <v>120101039.58</v>
          </cell>
        </row>
        <row r="2157">
          <cell r="A2157">
            <v>420010080</v>
          </cell>
          <cell r="B2157" t="str">
            <v>ACCEPTANCE FEES</v>
          </cell>
          <cell r="C2157">
            <v>7500</v>
          </cell>
          <cell r="D2157">
            <v>0</v>
          </cell>
          <cell r="E2157">
            <v>7500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7500</v>
          </cell>
          <cell r="T2157">
            <v>7500</v>
          </cell>
        </row>
        <row r="2158">
          <cell r="A2158">
            <v>420010090</v>
          </cell>
          <cell r="B2158" t="str">
            <v>ARRANGEMENT FEES</v>
          </cell>
          <cell r="C2158">
            <v>0</v>
          </cell>
          <cell r="D2158">
            <v>0</v>
          </cell>
          <cell r="E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</row>
        <row r="2159">
          <cell r="A2159">
            <v>420010100</v>
          </cell>
          <cell r="B2159" t="str">
            <v>ANNIVERSARY FEES</v>
          </cell>
          <cell r="C2159">
            <v>144814502.84</v>
          </cell>
          <cell r="D2159">
            <v>0</v>
          </cell>
          <cell r="E2159">
            <v>144814502.84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144814502.84</v>
          </cell>
          <cell r="T2159">
            <v>144814502.84</v>
          </cell>
        </row>
        <row r="2160">
          <cell r="A2160">
            <v>420010110</v>
          </cell>
          <cell r="B2160" t="str">
            <v>ADMINISTRATIVE FEES</v>
          </cell>
          <cell r="C2160">
            <v>8400916.0500000007</v>
          </cell>
          <cell r="D2160">
            <v>0</v>
          </cell>
          <cell r="E2160">
            <v>8400916.0500000007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8400916.0500000007</v>
          </cell>
          <cell r="T2160">
            <v>8400916.0500000007</v>
          </cell>
        </row>
        <row r="2161">
          <cell r="A2161">
            <v>420010120</v>
          </cell>
          <cell r="B2161" t="str">
            <v>FACILITY FEES</v>
          </cell>
          <cell r="C2161">
            <v>0</v>
          </cell>
          <cell r="D2161">
            <v>0</v>
          </cell>
          <cell r="E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</row>
        <row r="2162">
          <cell r="A2162">
            <v>420010130</v>
          </cell>
          <cell r="B2162" t="str">
            <v>RESTRUCTURING FEES</v>
          </cell>
          <cell r="C2162">
            <v>6994726.29</v>
          </cell>
          <cell r="D2162">
            <v>0</v>
          </cell>
          <cell r="E2162">
            <v>6994726.29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6994726.29</v>
          </cell>
          <cell r="T2162">
            <v>6994726.29</v>
          </cell>
        </row>
        <row r="2163">
          <cell r="A2163">
            <v>420010140</v>
          </cell>
          <cell r="B2163" t="str">
            <v>PARTICIPATION FEES</v>
          </cell>
          <cell r="C2163">
            <v>0</v>
          </cell>
          <cell r="D2163">
            <v>0</v>
          </cell>
          <cell r="E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</row>
        <row r="2164">
          <cell r="A2164">
            <v>420010150</v>
          </cell>
          <cell r="B2164" t="str">
            <v>COMMITMENT FEES</v>
          </cell>
          <cell r="C2164">
            <v>0</v>
          </cell>
          <cell r="D2164">
            <v>0</v>
          </cell>
          <cell r="E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</row>
        <row r="2165">
          <cell r="A2165">
            <v>420010160</v>
          </cell>
          <cell r="B2165" t="str">
            <v>PROCESSING FEES</v>
          </cell>
          <cell r="C2165">
            <v>6359.83</v>
          </cell>
          <cell r="D2165">
            <v>0</v>
          </cell>
          <cell r="E2165">
            <v>6359.83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6359.83</v>
          </cell>
          <cell r="T2165">
            <v>6359.83</v>
          </cell>
        </row>
        <row r="2166">
          <cell r="A2166">
            <v>420010170</v>
          </cell>
          <cell r="B2166" t="str">
            <v>MANAGEMENT FEES</v>
          </cell>
          <cell r="C2166">
            <v>1839258963.8900001</v>
          </cell>
          <cell r="D2166">
            <v>0</v>
          </cell>
          <cell r="E2166">
            <v>1839258963.8900001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1839258963.8900001</v>
          </cell>
          <cell r="T2166">
            <v>1839258963.8900001</v>
          </cell>
        </row>
        <row r="2167">
          <cell r="A2167">
            <v>420010180</v>
          </cell>
          <cell r="B2167" t="str">
            <v>RENEWAL FEES</v>
          </cell>
          <cell r="C2167">
            <v>0</v>
          </cell>
          <cell r="D2167">
            <v>0</v>
          </cell>
          <cell r="E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</row>
        <row r="2168">
          <cell r="A2168">
            <v>420010190</v>
          </cell>
          <cell r="B2168" t="str">
            <v>APG UTILIZATION FEES</v>
          </cell>
          <cell r="C2168">
            <v>0</v>
          </cell>
          <cell r="D2168">
            <v>0</v>
          </cell>
          <cell r="E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</row>
        <row r="2169">
          <cell r="A2169">
            <v>420010200</v>
          </cell>
          <cell r="B2169" t="str">
            <v>ADVISORY / CONSULTANCY FEE</v>
          </cell>
          <cell r="C2169">
            <v>316675570.74000001</v>
          </cell>
          <cell r="D2169">
            <v>0</v>
          </cell>
          <cell r="E2169">
            <v>316675570.74000001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316675570.74000001</v>
          </cell>
          <cell r="T2169">
            <v>316675570.74000001</v>
          </cell>
        </row>
        <row r="2170">
          <cell r="A2170">
            <v>420010210</v>
          </cell>
          <cell r="B2170" t="str">
            <v>BID BOND FEE</v>
          </cell>
          <cell r="C2170">
            <v>32112968.57</v>
          </cell>
          <cell r="D2170">
            <v>0</v>
          </cell>
          <cell r="E2170">
            <v>32112968.57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32112968.57</v>
          </cell>
          <cell r="T2170">
            <v>32112968.57</v>
          </cell>
        </row>
        <row r="2171">
          <cell r="A2171">
            <v>420010220</v>
          </cell>
          <cell r="B2171" t="str">
            <v>PERFORMANCE BOND FEE</v>
          </cell>
          <cell r="C2171">
            <v>67382378.269999996</v>
          </cell>
          <cell r="D2171">
            <v>0</v>
          </cell>
          <cell r="E2171">
            <v>67382378.269999996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67382378.269999996</v>
          </cell>
          <cell r="T2171">
            <v>67382378.269999996</v>
          </cell>
        </row>
        <row r="2172">
          <cell r="A2172">
            <v>420010230</v>
          </cell>
          <cell r="B2172" t="str">
            <v>ADVANCE PYT GUARANTEE FEE</v>
          </cell>
          <cell r="C2172">
            <v>179207406.63999999</v>
          </cell>
          <cell r="D2172">
            <v>0</v>
          </cell>
          <cell r="E2172">
            <v>179207406.63999999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179207406.63999999</v>
          </cell>
          <cell r="T2172">
            <v>179207406.63999999</v>
          </cell>
        </row>
        <row r="2173">
          <cell r="A2173">
            <v>420010240</v>
          </cell>
          <cell r="B2173" t="str">
            <v>CUSTOM BOND FEE</v>
          </cell>
          <cell r="C2173">
            <v>12721475.92</v>
          </cell>
          <cell r="D2173">
            <v>0</v>
          </cell>
          <cell r="E2173">
            <v>12721475.92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12721475.92</v>
          </cell>
          <cell r="T2173">
            <v>12721475.92</v>
          </cell>
        </row>
        <row r="2174">
          <cell r="A2174" t="str">
            <v>_x0012_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</row>
        <row r="2175"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</row>
        <row r="2176">
          <cell r="C2176" t="str">
            <v>Polaris Bank Limited, N</v>
          </cell>
          <cell r="D2176" t="str">
            <v>igeria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</row>
        <row r="2177">
          <cell r="C2177" t="str">
            <v>** Consolidated Balance Shee</v>
          </cell>
          <cell r="D2177" t="str">
            <v>t CBN **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</row>
        <row r="2178"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</row>
        <row r="2179">
          <cell r="C2179" t="str">
            <v>As on :     31-OCT-2025</v>
          </cell>
          <cell r="E2179" t="str">
            <v>Page   :   39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</row>
        <row r="2180"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</row>
        <row r="2181">
          <cell r="A2181" t="str">
            <v>User Id :</v>
          </cell>
          <cell r="B2181" t="str">
            <v>SYSTEM</v>
          </cell>
          <cell r="C2181" t="str">
            <v>Date 1 Time :     01-NOV-2025</v>
          </cell>
          <cell r="D2181">
            <v>0.21625000000000003</v>
          </cell>
          <cell r="E2181" t="str">
            <v>Module :   GL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</row>
        <row r="2182">
          <cell r="A2182" t="str">
            <v>----------</v>
          </cell>
          <cell r="B2182" t="str">
            <v>----------------------------------------</v>
          </cell>
          <cell r="C2182" t="str">
            <v>------------------------------</v>
          </cell>
          <cell r="D2182" t="str">
            <v>------------------------------</v>
          </cell>
          <cell r="E2182" t="str">
            <v>----------------------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</row>
        <row r="2183">
          <cell r="A2183" t="str">
            <v>GL Code</v>
          </cell>
          <cell r="B2183" t="str">
            <v>Description</v>
          </cell>
          <cell r="C2183" t="str">
            <v>LCY Amount</v>
          </cell>
          <cell r="D2183" t="str">
            <v>FCY Amount (Lcy Eq)</v>
          </cell>
          <cell r="E2183" t="str">
            <v>Total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</row>
        <row r="2184"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</row>
        <row r="2185">
          <cell r="A2185" t="str">
            <v>----------</v>
          </cell>
          <cell r="B2185" t="str">
            <v>----------------------------------------</v>
          </cell>
          <cell r="C2185" t="str">
            <v>------------------------------</v>
          </cell>
          <cell r="D2185" t="str">
            <v>------------------------------</v>
          </cell>
          <cell r="E2185" t="str">
            <v>----------------------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</row>
        <row r="2186">
          <cell r="A2186" t="str">
            <v>Income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</row>
        <row r="2187"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</row>
        <row r="2188">
          <cell r="A2188">
            <v>420010250</v>
          </cell>
          <cell r="B2188" t="str">
            <v>BANK GUARANTEE FEE</v>
          </cell>
          <cell r="C2188">
            <v>458913598.24000001</v>
          </cell>
          <cell r="D2188">
            <v>0</v>
          </cell>
          <cell r="E2188">
            <v>458913598.24000001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458913598.24000001</v>
          </cell>
          <cell r="T2188">
            <v>458913598.24000001</v>
          </cell>
        </row>
        <row r="2189">
          <cell r="A2189">
            <v>420010260</v>
          </cell>
          <cell r="B2189" t="str">
            <v>BOI MONITORING FEES ACCT</v>
          </cell>
          <cell r="C2189">
            <v>542290721.29999995</v>
          </cell>
          <cell r="D2189">
            <v>0</v>
          </cell>
          <cell r="E2189">
            <v>542290721.29999995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542290721.29999995</v>
          </cell>
          <cell r="T2189">
            <v>542290721.29999995</v>
          </cell>
        </row>
        <row r="2190">
          <cell r="A2190">
            <v>420010270</v>
          </cell>
          <cell r="B2190" t="str">
            <v>INC ON FINANCIAL ADVISORY SERV.</v>
          </cell>
          <cell r="C2190">
            <v>0</v>
          </cell>
          <cell r="D2190">
            <v>0</v>
          </cell>
          <cell r="E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</row>
        <row r="2191">
          <cell r="A2191">
            <v>420010280</v>
          </cell>
          <cell r="B2191" t="str">
            <v>PAPSS INCOME GL</v>
          </cell>
          <cell r="C2191">
            <v>39167.9</v>
          </cell>
          <cell r="D2191">
            <v>0</v>
          </cell>
          <cell r="E2191">
            <v>39167.9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39167.9</v>
          </cell>
          <cell r="T2191">
            <v>39167.9</v>
          </cell>
        </row>
        <row r="2192">
          <cell r="A2192">
            <v>420010290</v>
          </cell>
          <cell r="B2192" t="str">
            <v>INC ON PROJECT MANAGEMENT SERV.</v>
          </cell>
          <cell r="C2192">
            <v>0</v>
          </cell>
          <cell r="D2192">
            <v>0</v>
          </cell>
          <cell r="E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</row>
        <row r="2193">
          <cell r="A2193">
            <v>420010300</v>
          </cell>
          <cell r="B2193" t="str">
            <v>INC ON EDUCATIONAL FRANCHISE</v>
          </cell>
          <cell r="C2193">
            <v>123836587.73999999</v>
          </cell>
          <cell r="D2193">
            <v>0</v>
          </cell>
          <cell r="E2193">
            <v>123836587.73999999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123836587.73999999</v>
          </cell>
          <cell r="T2193">
            <v>123836587.73999999</v>
          </cell>
        </row>
        <row r="2194">
          <cell r="A2194">
            <v>420010310</v>
          </cell>
          <cell r="B2194" t="str">
            <v>OTHER INCOME</v>
          </cell>
          <cell r="C2194">
            <v>45313386.549999997</v>
          </cell>
          <cell r="D2194">
            <v>0</v>
          </cell>
          <cell r="E2194">
            <v>45313386.549999997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45313386.549999997</v>
          </cell>
          <cell r="T2194">
            <v>45313386.549999997</v>
          </cell>
        </row>
        <row r="2195">
          <cell r="A2195">
            <v>420010320</v>
          </cell>
          <cell r="B2195" t="str">
            <v>CASH  HANDLING FEE</v>
          </cell>
          <cell r="C2195">
            <v>63.75</v>
          </cell>
          <cell r="D2195">
            <v>0</v>
          </cell>
          <cell r="E2195">
            <v>63.75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63.75</v>
          </cell>
          <cell r="T2195">
            <v>63.75</v>
          </cell>
        </row>
        <row r="2196">
          <cell r="A2196">
            <v>420010330</v>
          </cell>
          <cell r="B2196" t="str">
            <v>COMMISSION ON BANK DRAFTS ISSUED</v>
          </cell>
          <cell r="C2196">
            <v>4670344.3</v>
          </cell>
          <cell r="D2196">
            <v>0</v>
          </cell>
          <cell r="E2196">
            <v>4670344.3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4670344.3</v>
          </cell>
          <cell r="T2196">
            <v>4670344.3</v>
          </cell>
        </row>
        <row r="2197">
          <cell r="A2197">
            <v>420010340</v>
          </cell>
          <cell r="B2197" t="str">
            <v>SEARCH &amp; LEGAL FEES</v>
          </cell>
          <cell r="C2197">
            <v>20413212.5</v>
          </cell>
          <cell r="D2197">
            <v>0</v>
          </cell>
          <cell r="E2197">
            <v>20413212.5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20413212.5</v>
          </cell>
          <cell r="T2197">
            <v>20413212.5</v>
          </cell>
        </row>
        <row r="2198">
          <cell r="A2198">
            <v>420010350</v>
          </cell>
          <cell r="B2198" t="str">
            <v>FEE INCOME - RENEWAL FEE</v>
          </cell>
          <cell r="C2198">
            <v>0</v>
          </cell>
          <cell r="D2198">
            <v>0</v>
          </cell>
          <cell r="E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</row>
        <row r="2199">
          <cell r="A2199">
            <v>420010352</v>
          </cell>
          <cell r="B2199" t="str">
            <v>INTERNET BANKING INCOME</v>
          </cell>
          <cell r="C2199">
            <v>24328825</v>
          </cell>
          <cell r="D2199">
            <v>0</v>
          </cell>
          <cell r="E2199">
            <v>24328825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24328825</v>
          </cell>
          <cell r="T2199">
            <v>24328825</v>
          </cell>
        </row>
        <row r="2200">
          <cell r="A2200">
            <v>420010360</v>
          </cell>
          <cell r="B2200" t="str">
            <v>PROFIT ON SALE OF ASSETS</v>
          </cell>
          <cell r="C2200">
            <v>5982594.3499999996</v>
          </cell>
          <cell r="D2200">
            <v>0</v>
          </cell>
          <cell r="E2200">
            <v>5982594.3499999996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5982594.3499999996</v>
          </cell>
          <cell r="T2200">
            <v>5982594.3499999996</v>
          </cell>
        </row>
        <row r="2201">
          <cell r="A2201">
            <v>420010370</v>
          </cell>
          <cell r="B2201" t="str">
            <v>SMALL BAL FORFEITURE INC</v>
          </cell>
          <cell r="C2201">
            <v>332305.58</v>
          </cell>
          <cell r="D2201">
            <v>0</v>
          </cell>
          <cell r="E2201">
            <v>332305.58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332305.58</v>
          </cell>
          <cell r="T2201">
            <v>332305.58</v>
          </cell>
        </row>
        <row r="2202">
          <cell r="A2202">
            <v>420010380</v>
          </cell>
          <cell r="B2202" t="str">
            <v>CASH OVERAGES</v>
          </cell>
          <cell r="C2202">
            <v>700</v>
          </cell>
          <cell r="D2202">
            <v>0</v>
          </cell>
          <cell r="E2202">
            <v>700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700</v>
          </cell>
          <cell r="T2202">
            <v>700</v>
          </cell>
        </row>
        <row r="2203">
          <cell r="A2203">
            <v>420010390</v>
          </cell>
          <cell r="B2203" t="str">
            <v>ATM ISSUER FEE GL</v>
          </cell>
          <cell r="C2203">
            <v>180069207.81999999</v>
          </cell>
          <cell r="D2203">
            <v>0</v>
          </cell>
          <cell r="E2203">
            <v>180069207.81999999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180069207.81999999</v>
          </cell>
          <cell r="T2203">
            <v>180069207.81999999</v>
          </cell>
        </row>
        <row r="2204">
          <cell r="A2204">
            <v>420010400</v>
          </cell>
          <cell r="B2204" t="str">
            <v>FOREIGN CHQ/DRAFT COMM</v>
          </cell>
          <cell r="C2204">
            <v>0</v>
          </cell>
          <cell r="D2204">
            <v>0</v>
          </cell>
          <cell r="E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</row>
        <row r="2205">
          <cell r="A2205">
            <v>420010410</v>
          </cell>
          <cell r="B2205" t="str">
            <v>RESIDUAL FEES</v>
          </cell>
          <cell r="C2205">
            <v>0</v>
          </cell>
          <cell r="D2205">
            <v>0</v>
          </cell>
          <cell r="E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</row>
        <row r="2206">
          <cell r="A2206">
            <v>420010420</v>
          </cell>
          <cell r="B2206" t="str">
            <v>INC ON SYNDICATION MGT. SERV.</v>
          </cell>
          <cell r="C2206">
            <v>0</v>
          </cell>
          <cell r="D2206">
            <v>0</v>
          </cell>
          <cell r="E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</row>
        <row r="2207">
          <cell r="A2207">
            <v>420010430</v>
          </cell>
          <cell r="B2207" t="str">
            <v>RECOUPED courrier fees</v>
          </cell>
          <cell r="C2207">
            <v>0</v>
          </cell>
          <cell r="D2207">
            <v>0</v>
          </cell>
          <cell r="E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</row>
        <row r="2208">
          <cell r="A2208">
            <v>420010440</v>
          </cell>
          <cell r="B2208" t="str">
            <v>FEE INCOME - SBG TRANSACTIONS</v>
          </cell>
          <cell r="C2208">
            <v>0</v>
          </cell>
          <cell r="D2208">
            <v>0</v>
          </cell>
          <cell r="E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</row>
        <row r="2209">
          <cell r="A2209">
            <v>420010450</v>
          </cell>
          <cell r="B2209" t="str">
            <v>E-CHANNELS WEB INCOME</v>
          </cell>
          <cell r="C2209">
            <v>11131762.32</v>
          </cell>
          <cell r="D2209">
            <v>0</v>
          </cell>
          <cell r="E2209">
            <v>11131762.32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11131762.32</v>
          </cell>
          <cell r="T2209">
            <v>11131762.32</v>
          </cell>
        </row>
        <row r="2210">
          <cell r="A2210">
            <v>420010460</v>
          </cell>
          <cell r="B2210" t="str">
            <v>E-CHANNELS MOBILE INCOME</v>
          </cell>
          <cell r="C2210">
            <v>557364349.69000006</v>
          </cell>
          <cell r="D2210">
            <v>0</v>
          </cell>
          <cell r="E2210">
            <v>557364349.69000006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557364349.69000006</v>
          </cell>
          <cell r="T2210">
            <v>557364349.69000006</v>
          </cell>
        </row>
        <row r="2211">
          <cell r="A2211">
            <v>420010470</v>
          </cell>
          <cell r="B2211" t="str">
            <v>POLARIS DIGITAL APP INCOME</v>
          </cell>
          <cell r="C2211">
            <v>1000</v>
          </cell>
          <cell r="D2211">
            <v>0</v>
          </cell>
          <cell r="E2211">
            <v>1000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1000</v>
          </cell>
          <cell r="T2211">
            <v>1000</v>
          </cell>
        </row>
        <row r="2212">
          <cell r="A2212">
            <v>420010480</v>
          </cell>
          <cell r="B2212" t="str">
            <v>R-TAG BUS. NAME FEE INCOME</v>
          </cell>
          <cell r="C2212">
            <v>0</v>
          </cell>
          <cell r="D2212">
            <v>0</v>
          </cell>
          <cell r="E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</row>
        <row r="2213">
          <cell r="A2213">
            <v>420010490</v>
          </cell>
          <cell r="B2213" t="str">
            <v>SBG INSURANCE FEE INCOME</v>
          </cell>
          <cell r="C2213">
            <v>0</v>
          </cell>
          <cell r="D2213">
            <v>0</v>
          </cell>
          <cell r="E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</row>
        <row r="2214">
          <cell r="A2214">
            <v>420010500</v>
          </cell>
          <cell r="B2214" t="str">
            <v>SBG - RTB VEHICLE INCOME</v>
          </cell>
          <cell r="C2214">
            <v>0</v>
          </cell>
          <cell r="D2214">
            <v>0</v>
          </cell>
          <cell r="E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</row>
        <row r="2215">
          <cell r="A2215">
            <v>420010501</v>
          </cell>
          <cell r="B2215" t="str">
            <v>ATM CASH OVERAGES</v>
          </cell>
          <cell r="C2215">
            <v>0</v>
          </cell>
          <cell r="D2215">
            <v>0</v>
          </cell>
          <cell r="E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</row>
        <row r="2216">
          <cell r="A2216">
            <v>420010502</v>
          </cell>
          <cell r="B2216" t="str">
            <v>STANDING ORDER CHARGE</v>
          </cell>
          <cell r="C2216">
            <v>2750</v>
          </cell>
          <cell r="D2216">
            <v>0</v>
          </cell>
          <cell r="E2216">
            <v>2750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2750</v>
          </cell>
          <cell r="T2216">
            <v>2750</v>
          </cell>
        </row>
        <row r="2217">
          <cell r="A2217">
            <v>420010520</v>
          </cell>
          <cell r="B2217" t="str">
            <v>BVN ENROLLMENT INCOME</v>
          </cell>
          <cell r="C2217">
            <v>0</v>
          </cell>
          <cell r="D2217">
            <v>0</v>
          </cell>
          <cell r="E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</row>
        <row r="2218">
          <cell r="A2218">
            <v>420010530</v>
          </cell>
          <cell r="B2218" t="str">
            <v>POLARISMOBILE INTERBANK TRANX FE</v>
          </cell>
          <cell r="C2218">
            <v>1951375412.8900001</v>
          </cell>
          <cell r="D2218">
            <v>0</v>
          </cell>
          <cell r="E2218">
            <v>1951375412.8900001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1951375412.8900001</v>
          </cell>
          <cell r="T2218">
            <v>1951375412.8900001</v>
          </cell>
        </row>
        <row r="2219">
          <cell r="A2219">
            <v>420020010</v>
          </cell>
          <cell r="B2219" t="str">
            <v>COMM. ON FIRS COLLECTIONS</v>
          </cell>
          <cell r="C2219">
            <v>7902353.1200000001</v>
          </cell>
          <cell r="D2219">
            <v>0</v>
          </cell>
          <cell r="E2219">
            <v>7902353.1200000001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7902353.1200000001</v>
          </cell>
          <cell r="T2219">
            <v>7902353.1200000001</v>
          </cell>
        </row>
        <row r="2220">
          <cell r="A2220">
            <v>420020020</v>
          </cell>
          <cell r="B2220" t="str">
            <v>COMM. ON CUSTOMS COLLECTION</v>
          </cell>
          <cell r="C2220">
            <v>12922229.560000001</v>
          </cell>
          <cell r="D2220">
            <v>0</v>
          </cell>
          <cell r="E2220">
            <v>12922229.560000001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12922229.560000001</v>
          </cell>
          <cell r="T2220">
            <v>12922229.560000001</v>
          </cell>
        </row>
        <row r="2221">
          <cell r="A2221">
            <v>420020030</v>
          </cell>
          <cell r="B2221" t="str">
            <v>COMM. ON M TEL COLLECTION</v>
          </cell>
          <cell r="C2221">
            <v>0</v>
          </cell>
          <cell r="D2221">
            <v>0</v>
          </cell>
          <cell r="E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</row>
        <row r="2222">
          <cell r="A2222">
            <v>420020040</v>
          </cell>
          <cell r="B2222" t="str">
            <v>COMM. ON PHCN COLLECTION</v>
          </cell>
          <cell r="C2222">
            <v>0</v>
          </cell>
          <cell r="D2222">
            <v>0</v>
          </cell>
          <cell r="E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</row>
        <row r="2223">
          <cell r="A2223">
            <v>420020050</v>
          </cell>
          <cell r="B2223" t="str">
            <v>COMM. ON VAT COLLECTION</v>
          </cell>
          <cell r="C2223">
            <v>0</v>
          </cell>
          <cell r="D2223">
            <v>0</v>
          </cell>
          <cell r="E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</row>
        <row r="2224">
          <cell r="A2224">
            <v>420020060</v>
          </cell>
          <cell r="B2224" t="str">
            <v>COMM. ON OTHER COLLECTIONS</v>
          </cell>
          <cell r="C2224">
            <v>684894711.54999995</v>
          </cell>
          <cell r="D2224">
            <v>0</v>
          </cell>
          <cell r="E2224">
            <v>684894711.54999995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684894711.54999995</v>
          </cell>
          <cell r="T2224">
            <v>684894711.54999995</v>
          </cell>
        </row>
        <row r="2225">
          <cell r="A2225">
            <v>420030010</v>
          </cell>
          <cell r="B2225" t="str">
            <v>ACCOUNT MAINTENANCE FEE</v>
          </cell>
          <cell r="C2225">
            <v>5072893200.9700003</v>
          </cell>
          <cell r="D2225">
            <v>0</v>
          </cell>
          <cell r="E2225">
            <v>5072893200.9700003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5072893200.9700003</v>
          </cell>
          <cell r="T2225">
            <v>5072893200.9700003</v>
          </cell>
        </row>
        <row r="2226">
          <cell r="A2226">
            <v>420030020</v>
          </cell>
          <cell r="B2226" t="str">
            <v>CHEQUE COLLECTION CHARGES</v>
          </cell>
          <cell r="C2226">
            <v>0</v>
          </cell>
          <cell r="D2226">
            <v>0</v>
          </cell>
          <cell r="E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</row>
        <row r="2227">
          <cell r="A2227">
            <v>420030030</v>
          </cell>
          <cell r="B2227" t="str">
            <v>RECOVA COMMISSION INCOME</v>
          </cell>
          <cell r="C2227">
            <v>12275.57</v>
          </cell>
          <cell r="D2227">
            <v>0</v>
          </cell>
          <cell r="E2227">
            <v>12275.57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12275.57</v>
          </cell>
          <cell r="T2227">
            <v>12275.57</v>
          </cell>
        </row>
        <row r="2228">
          <cell r="A2228">
            <v>420030040</v>
          </cell>
          <cell r="B2228" t="str">
            <v>COMMISSION ON SALE OF T/CHEQUES</v>
          </cell>
          <cell r="C2228">
            <v>500</v>
          </cell>
          <cell r="D2228">
            <v>0</v>
          </cell>
          <cell r="E2228">
            <v>500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500</v>
          </cell>
          <cell r="T2228">
            <v>500</v>
          </cell>
        </row>
        <row r="2229">
          <cell r="A2229">
            <v>420030050</v>
          </cell>
          <cell r="B2229" t="str">
            <v>COMMISSION ON DIRECT CREDIT</v>
          </cell>
          <cell r="C2229">
            <v>2500</v>
          </cell>
          <cell r="D2229">
            <v>0</v>
          </cell>
          <cell r="E2229">
            <v>2500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2500</v>
          </cell>
          <cell r="T2229">
            <v>2500</v>
          </cell>
        </row>
        <row r="2230">
          <cell r="A2230">
            <v>420030060</v>
          </cell>
          <cell r="B2230" t="str">
            <v>COMMISSION ON CHEQUE BOOKS ISSUE</v>
          </cell>
          <cell r="C2230">
            <v>106694584.54000001</v>
          </cell>
          <cell r="D2230">
            <v>0</v>
          </cell>
          <cell r="E2230">
            <v>106694584.54000001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106694584.54000001</v>
          </cell>
          <cell r="T2230">
            <v>106694584.54000001</v>
          </cell>
        </row>
        <row r="2231">
          <cell r="A2231">
            <v>420030070</v>
          </cell>
          <cell r="B2231" t="str">
            <v>COMMISSION ON WUMT (USD)</v>
          </cell>
          <cell r="C2231">
            <v>0</v>
          </cell>
          <cell r="D2231">
            <v>0</v>
          </cell>
          <cell r="E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</row>
        <row r="2232">
          <cell r="A2232" t="str">
            <v>_x0012_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</row>
        <row r="2233"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</row>
        <row r="2234">
          <cell r="C2234" t="str">
            <v>Polaris Bank Limited, N</v>
          </cell>
          <cell r="D2234" t="str">
            <v>igeria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</row>
        <row r="2235">
          <cell r="C2235" t="str">
            <v>** Consolidated Balance Shee</v>
          </cell>
          <cell r="D2235" t="str">
            <v>t CBN **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</row>
        <row r="2236"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</row>
        <row r="2237">
          <cell r="C2237" t="str">
            <v>As on :     31-OCT-2025</v>
          </cell>
          <cell r="E2237" t="str">
            <v>Page   :   40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</row>
        <row r="2238"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</row>
        <row r="2239">
          <cell r="A2239" t="str">
            <v>User Id :</v>
          </cell>
          <cell r="B2239" t="str">
            <v>SYSTEM</v>
          </cell>
          <cell r="C2239" t="str">
            <v>Date 1 Time :     01-NOV-2025</v>
          </cell>
          <cell r="D2239">
            <v>0.21625000000000003</v>
          </cell>
          <cell r="E2239" t="str">
            <v>Module :   GL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</row>
        <row r="2240">
          <cell r="A2240" t="str">
            <v>----------</v>
          </cell>
          <cell r="B2240" t="str">
            <v>----------------------------------------</v>
          </cell>
          <cell r="C2240" t="str">
            <v>------------------------------</v>
          </cell>
          <cell r="D2240" t="str">
            <v>------------------------------</v>
          </cell>
          <cell r="E2240" t="str">
            <v>----------------------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</row>
        <row r="2241">
          <cell r="A2241" t="str">
            <v>GL Code</v>
          </cell>
          <cell r="B2241" t="str">
            <v>Description</v>
          </cell>
          <cell r="C2241" t="str">
            <v>LCY Amount</v>
          </cell>
          <cell r="D2241" t="str">
            <v>FCY Amount (Lcy Eq)</v>
          </cell>
          <cell r="E2241" t="str">
            <v>Total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</row>
        <row r="2242"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</row>
        <row r="2243">
          <cell r="A2243" t="str">
            <v>----------</v>
          </cell>
          <cell r="B2243" t="str">
            <v>----------------------------------------</v>
          </cell>
          <cell r="C2243" t="str">
            <v>------------------------------</v>
          </cell>
          <cell r="D2243" t="str">
            <v>------------------------------</v>
          </cell>
          <cell r="E2243" t="str">
            <v>----------------------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</row>
        <row r="2244">
          <cell r="A2244" t="str">
            <v>Income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</row>
        <row r="2245"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</row>
        <row r="2246">
          <cell r="A2246">
            <v>420030080</v>
          </cell>
          <cell r="B2246" t="str">
            <v>COMMISSION ON MONEYGRAM</v>
          </cell>
          <cell r="C2246">
            <v>112.68</v>
          </cell>
          <cell r="D2246">
            <v>0</v>
          </cell>
          <cell r="E2246">
            <v>112.68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112.68</v>
          </cell>
          <cell r="T2246">
            <v>112.68</v>
          </cell>
        </row>
        <row r="2247">
          <cell r="A2247">
            <v>420030090</v>
          </cell>
          <cell r="B2247" t="str">
            <v>COMM ON NEFT TRANSFERS</v>
          </cell>
          <cell r="C2247">
            <v>793315</v>
          </cell>
          <cell r="D2247">
            <v>0</v>
          </cell>
          <cell r="E2247">
            <v>793315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793315</v>
          </cell>
          <cell r="T2247">
            <v>793315</v>
          </cell>
        </row>
        <row r="2248">
          <cell r="A2248">
            <v>420030100</v>
          </cell>
          <cell r="B2248" t="str">
            <v>COMM ON SPECIAL CHEQUE CLEARANCE</v>
          </cell>
          <cell r="C2248">
            <v>0</v>
          </cell>
          <cell r="D2248">
            <v>0</v>
          </cell>
          <cell r="E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</row>
        <row r="2249">
          <cell r="A2249">
            <v>420030110</v>
          </cell>
          <cell r="B2249" t="str">
            <v>RETURNED CHEQUE SERVICE CHARGE</v>
          </cell>
          <cell r="C2249">
            <v>45159552.390000001</v>
          </cell>
          <cell r="D2249">
            <v>0</v>
          </cell>
          <cell r="E2249">
            <v>45159552.390000001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45159552.390000001</v>
          </cell>
          <cell r="T2249">
            <v>45159552.390000001</v>
          </cell>
        </row>
        <row r="2250">
          <cell r="A2250">
            <v>420030120</v>
          </cell>
          <cell r="B2250" t="str">
            <v>STOPPED CHEQUE CHARGES</v>
          </cell>
          <cell r="C2250">
            <v>0</v>
          </cell>
          <cell r="D2250">
            <v>0</v>
          </cell>
          <cell r="E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</row>
        <row r="2251">
          <cell r="A2251">
            <v>420030130</v>
          </cell>
          <cell r="B2251" t="str">
            <v>POSTAGE COMMISSION</v>
          </cell>
          <cell r="C2251">
            <v>72950</v>
          </cell>
          <cell r="D2251">
            <v>0</v>
          </cell>
          <cell r="E2251">
            <v>72950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72950</v>
          </cell>
          <cell r="T2251">
            <v>72950</v>
          </cell>
        </row>
        <row r="2252">
          <cell r="A2252">
            <v>420030140</v>
          </cell>
          <cell r="B2252" t="str">
            <v>OTHER COMMISSIONS</v>
          </cell>
          <cell r="C2252">
            <v>2326921.3199999998</v>
          </cell>
          <cell r="D2252">
            <v>0</v>
          </cell>
          <cell r="E2252">
            <v>2326921.3199999998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2326921.3199999998</v>
          </cell>
          <cell r="T2252">
            <v>2326921.3199999998</v>
          </cell>
        </row>
        <row r="2253">
          <cell r="A2253">
            <v>420030150</v>
          </cell>
          <cell r="B2253" t="str">
            <v>DEBIT CARD INCOME GL</v>
          </cell>
          <cell r="C2253">
            <v>522922543.25</v>
          </cell>
          <cell r="D2253">
            <v>0</v>
          </cell>
          <cell r="E2253">
            <v>522922543.25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522922543.25</v>
          </cell>
          <cell r="T2253">
            <v>522922543.25</v>
          </cell>
        </row>
        <row r="2254">
          <cell r="A2254">
            <v>420030160</v>
          </cell>
          <cell r="B2254" t="str">
            <v>ATM CASH CARD COMMISSION</v>
          </cell>
          <cell r="C2254">
            <v>0</v>
          </cell>
          <cell r="D2254">
            <v>0</v>
          </cell>
          <cell r="E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</row>
        <row r="2255">
          <cell r="A2255">
            <v>420030170</v>
          </cell>
          <cell r="B2255" t="str">
            <v>POLARISCARD CREDIT CARD COMMISSI</v>
          </cell>
          <cell r="C2255">
            <v>54267259.630000003</v>
          </cell>
          <cell r="D2255">
            <v>0</v>
          </cell>
          <cell r="E2255">
            <v>54267259.630000003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54267259.630000003</v>
          </cell>
          <cell r="T2255">
            <v>54267259.630000003</v>
          </cell>
        </row>
        <row r="2256">
          <cell r="A2256">
            <v>420030180</v>
          </cell>
          <cell r="B2256" t="str">
            <v>BUSINESS SOLUTIONS INCOME</v>
          </cell>
          <cell r="C2256">
            <v>523254167.87</v>
          </cell>
          <cell r="D2256">
            <v>0</v>
          </cell>
          <cell r="E2256">
            <v>523254167.87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523254167.87</v>
          </cell>
          <cell r="T2256">
            <v>523254167.87</v>
          </cell>
        </row>
        <row r="2257">
          <cell r="A2257">
            <v>420030190</v>
          </cell>
          <cell r="B2257" t="str">
            <v>COMMISSION ON RIA</v>
          </cell>
          <cell r="C2257">
            <v>0</v>
          </cell>
          <cell r="D2257">
            <v>0</v>
          </cell>
          <cell r="E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</row>
        <row r="2258">
          <cell r="A2258">
            <v>420030200</v>
          </cell>
          <cell r="B2258" t="str">
            <v>COMMISSION ON STANDING ORDERS</v>
          </cell>
          <cell r="C2258">
            <v>1320</v>
          </cell>
          <cell r="D2258">
            <v>0</v>
          </cell>
          <cell r="E2258">
            <v>1320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1320</v>
          </cell>
          <cell r="T2258">
            <v>1320</v>
          </cell>
        </row>
        <row r="2259">
          <cell r="A2259">
            <v>420030210</v>
          </cell>
          <cell r="B2259" t="str">
            <v>COMMISSION ON FUNDS TRANSFERS</v>
          </cell>
          <cell r="C2259">
            <v>500</v>
          </cell>
          <cell r="D2259">
            <v>0</v>
          </cell>
          <cell r="E2259">
            <v>500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500</v>
          </cell>
          <cell r="T2259">
            <v>500</v>
          </cell>
        </row>
        <row r="2260">
          <cell r="A2260">
            <v>420030220</v>
          </cell>
          <cell r="B2260" t="str">
            <v>FIXED INC SECURITIES COMMISSION</v>
          </cell>
          <cell r="C2260">
            <v>231181986.19999999</v>
          </cell>
          <cell r="D2260">
            <v>0</v>
          </cell>
          <cell r="E2260">
            <v>231181986.19999999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231181986.19999999</v>
          </cell>
          <cell r="T2260">
            <v>231181986.19999999</v>
          </cell>
        </row>
        <row r="2261">
          <cell r="A2261">
            <v>420030240</v>
          </cell>
          <cell r="B2261" t="str">
            <v>PERSONAL LOAN INSURANCE INC. GL</v>
          </cell>
          <cell r="C2261">
            <v>0</v>
          </cell>
          <cell r="D2261">
            <v>0</v>
          </cell>
          <cell r="E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</row>
        <row r="2262">
          <cell r="A2262">
            <v>420030250</v>
          </cell>
          <cell r="B2262" t="str">
            <v>WUMT FEES &amp; CHARGES PAYABLE</v>
          </cell>
          <cell r="C2262">
            <v>0</v>
          </cell>
          <cell r="D2262">
            <v>0</v>
          </cell>
          <cell r="E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</row>
        <row r="2263">
          <cell r="A2263">
            <v>420030260</v>
          </cell>
          <cell r="B2263" t="str">
            <v>NIBSS AUTO. PAY. SYS. COMMISSION</v>
          </cell>
          <cell r="C2263">
            <v>9728550</v>
          </cell>
          <cell r="D2263">
            <v>0</v>
          </cell>
          <cell r="E2263">
            <v>9728550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9728550</v>
          </cell>
          <cell r="T2263">
            <v>9728550</v>
          </cell>
        </row>
        <row r="2264">
          <cell r="A2264">
            <v>420030270</v>
          </cell>
          <cell r="B2264" t="str">
            <v>POLARIS SELAC1 INCOME</v>
          </cell>
          <cell r="C2264">
            <v>0</v>
          </cell>
          <cell r="D2264">
            <v>0</v>
          </cell>
          <cell r="E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</row>
        <row r="2265">
          <cell r="A2265">
            <v>420030280</v>
          </cell>
          <cell r="B2265" t="str">
            <v>Commission on outward remittance</v>
          </cell>
          <cell r="C2265">
            <v>0</v>
          </cell>
          <cell r="D2265">
            <v>0</v>
          </cell>
          <cell r="E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</row>
        <row r="2266">
          <cell r="A2266">
            <v>420030290</v>
          </cell>
          <cell r="B2266" t="str">
            <v>Commission on letter to embassie</v>
          </cell>
          <cell r="C2266">
            <v>27730</v>
          </cell>
          <cell r="D2266">
            <v>0</v>
          </cell>
          <cell r="E2266">
            <v>27730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27730</v>
          </cell>
          <cell r="T2266">
            <v>27730</v>
          </cell>
        </row>
        <row r="2267">
          <cell r="A2267">
            <v>420030300</v>
          </cell>
          <cell r="B2267" t="str">
            <v>Commission on letter of indebted</v>
          </cell>
          <cell r="C2267">
            <v>1530537.5</v>
          </cell>
          <cell r="D2267">
            <v>0</v>
          </cell>
          <cell r="E2267">
            <v>1530537.5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1530537.5</v>
          </cell>
          <cell r="T2267">
            <v>1530537.5</v>
          </cell>
        </row>
        <row r="2268">
          <cell r="A2268">
            <v>420030310</v>
          </cell>
          <cell r="B2268" t="str">
            <v>Commission on reference letters</v>
          </cell>
          <cell r="C2268">
            <v>4908764.78</v>
          </cell>
          <cell r="D2268">
            <v>0</v>
          </cell>
          <cell r="E2268">
            <v>4908764.78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4908764.78</v>
          </cell>
          <cell r="T2268">
            <v>4908764.78</v>
          </cell>
        </row>
        <row r="2269">
          <cell r="A2269">
            <v>420030320</v>
          </cell>
          <cell r="B2269" t="str">
            <v>Statement of account charges</v>
          </cell>
          <cell r="C2269">
            <v>31080975.5</v>
          </cell>
          <cell r="D2269">
            <v>0</v>
          </cell>
          <cell r="E2269">
            <v>31080975.5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31080975.5</v>
          </cell>
          <cell r="T2269">
            <v>31080975.5</v>
          </cell>
        </row>
        <row r="2270">
          <cell r="A2270">
            <v>420030321</v>
          </cell>
          <cell r="B2270" t="str">
            <v>MY BANK STATEMENT</v>
          </cell>
          <cell r="C2270">
            <v>6374190.1100000003</v>
          </cell>
          <cell r="D2270">
            <v>0</v>
          </cell>
          <cell r="E2270">
            <v>6374190.1100000003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6374190.1100000003</v>
          </cell>
          <cell r="T2270">
            <v>6374190.1100000003</v>
          </cell>
        </row>
        <row r="2271">
          <cell r="A2271">
            <v>420030330</v>
          </cell>
          <cell r="B2271" t="str">
            <v>Confirmation of signature issued</v>
          </cell>
          <cell r="C2271">
            <v>10037.5</v>
          </cell>
          <cell r="D2271">
            <v>0</v>
          </cell>
          <cell r="E2271">
            <v>10037.5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10037.5</v>
          </cell>
          <cell r="T2271">
            <v>10037.5</v>
          </cell>
        </row>
        <row r="2272">
          <cell r="A2272">
            <v>420030340</v>
          </cell>
          <cell r="B2272" t="str">
            <v>Counter cheque charge</v>
          </cell>
          <cell r="C2272">
            <v>1092138.25</v>
          </cell>
          <cell r="D2272">
            <v>0</v>
          </cell>
          <cell r="E2272">
            <v>1092138.25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1092138.25</v>
          </cell>
          <cell r="T2272">
            <v>1092138.25</v>
          </cell>
        </row>
        <row r="2273">
          <cell r="A2273">
            <v>420030350</v>
          </cell>
          <cell r="B2273" t="str">
            <v>Account confirmation chargeAccou</v>
          </cell>
          <cell r="C2273">
            <v>16125</v>
          </cell>
          <cell r="D2273">
            <v>0</v>
          </cell>
          <cell r="E2273">
            <v>16125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16125</v>
          </cell>
          <cell r="T2273">
            <v>16125</v>
          </cell>
        </row>
        <row r="2274">
          <cell r="A2274">
            <v>420030360</v>
          </cell>
          <cell r="B2274" t="str">
            <v>Interbank transfer charges</v>
          </cell>
          <cell r="C2274">
            <v>0</v>
          </cell>
          <cell r="D2274">
            <v>0</v>
          </cell>
          <cell r="E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</row>
        <row r="2275">
          <cell r="A2275">
            <v>420030370</v>
          </cell>
          <cell r="B2275" t="str">
            <v>ATM Debit Card Fees (issuance)</v>
          </cell>
          <cell r="C2275">
            <v>1076.0999999999999</v>
          </cell>
          <cell r="D2275">
            <v>0</v>
          </cell>
          <cell r="E2275">
            <v>1076.0999999999999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1076.0999999999999</v>
          </cell>
          <cell r="T2275">
            <v>1076.0999999999999</v>
          </cell>
        </row>
        <row r="2276">
          <cell r="A2276">
            <v>420030380</v>
          </cell>
          <cell r="B2276" t="str">
            <v>IMTO Income GL</v>
          </cell>
          <cell r="C2276">
            <v>81811398.209999993</v>
          </cell>
          <cell r="D2276">
            <v>0</v>
          </cell>
          <cell r="E2276">
            <v>81811398.209999993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81811398.209999993</v>
          </cell>
          <cell r="T2276">
            <v>81811398.209999993</v>
          </cell>
        </row>
        <row r="2277">
          <cell r="A2277">
            <v>420030390</v>
          </cell>
          <cell r="B2277" t="str">
            <v>TRANSFAST REMITTANCES COMMISSION</v>
          </cell>
          <cell r="C2277">
            <v>0</v>
          </cell>
          <cell r="D2277">
            <v>0</v>
          </cell>
          <cell r="E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</row>
        <row r="2278">
          <cell r="A2278">
            <v>420030400</v>
          </cell>
          <cell r="B2278" t="str">
            <v>USSD POV COMMISSION</v>
          </cell>
          <cell r="C2278">
            <v>0</v>
          </cell>
          <cell r="D2278">
            <v>0</v>
          </cell>
          <cell r="E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</row>
        <row r="2279">
          <cell r="A2279">
            <v>420030410</v>
          </cell>
          <cell r="B2279" t="str">
            <v>COMM ON WESTERN UNION ABMT</v>
          </cell>
          <cell r="C2279">
            <v>0</v>
          </cell>
          <cell r="D2279">
            <v>0</v>
          </cell>
          <cell r="E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</row>
        <row r="2280">
          <cell r="A2280">
            <v>420030430</v>
          </cell>
          <cell r="B2280" t="str">
            <v>APTPAY COMMISSION</v>
          </cell>
          <cell r="C2280">
            <v>0</v>
          </cell>
          <cell r="D2280">
            <v>0</v>
          </cell>
          <cell r="E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</row>
        <row r="2281">
          <cell r="A2281">
            <v>420040010</v>
          </cell>
          <cell r="B2281" t="str">
            <v>LC HANDLING COMMISSION</v>
          </cell>
          <cell r="C2281">
            <v>751266512.19000006</v>
          </cell>
          <cell r="D2281">
            <v>0</v>
          </cell>
          <cell r="E2281">
            <v>751266512.19000006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751266512.19000006</v>
          </cell>
          <cell r="T2281">
            <v>751266512.19000006</v>
          </cell>
        </row>
        <row r="2282">
          <cell r="A2282">
            <v>420040020</v>
          </cell>
          <cell r="B2282" t="str">
            <v>COMM. ON ETRANZACT TRANSACTIONS</v>
          </cell>
          <cell r="C2282">
            <v>0</v>
          </cell>
          <cell r="D2282">
            <v>0</v>
          </cell>
          <cell r="E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</row>
        <row r="2283">
          <cell r="A2283">
            <v>420040040</v>
          </cell>
          <cell r="B2283" t="str">
            <v>COMMISSION ON BONDS &amp; GUARANTEES</v>
          </cell>
          <cell r="C2283">
            <v>0</v>
          </cell>
          <cell r="D2283">
            <v>0</v>
          </cell>
          <cell r="E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</row>
        <row r="2284">
          <cell r="A2284">
            <v>420040050</v>
          </cell>
          <cell r="B2284" t="str">
            <v>BC HANDLING COMMISSION</v>
          </cell>
          <cell r="C2284">
            <v>334780281.97000003</v>
          </cell>
          <cell r="D2284">
            <v>0</v>
          </cell>
          <cell r="E2284">
            <v>334780281.97000003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334780281.97000003</v>
          </cell>
          <cell r="T2284">
            <v>334780281.97000003</v>
          </cell>
        </row>
        <row r="2285">
          <cell r="A2285">
            <v>420040060</v>
          </cell>
          <cell r="B2285" t="str">
            <v>NXP HANDLING COMMISSION</v>
          </cell>
          <cell r="C2285">
            <v>411000</v>
          </cell>
          <cell r="D2285">
            <v>0</v>
          </cell>
          <cell r="E2285">
            <v>411000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411000</v>
          </cell>
          <cell r="T2285">
            <v>411000</v>
          </cell>
        </row>
        <row r="2286">
          <cell r="A2286">
            <v>420040070</v>
          </cell>
          <cell r="B2286" t="str">
            <v>SECURITY VALUATION COMMISSION</v>
          </cell>
          <cell r="C2286">
            <v>0</v>
          </cell>
          <cell r="D2286">
            <v>0</v>
          </cell>
          <cell r="E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</row>
        <row r="2287">
          <cell r="A2287">
            <v>420040080</v>
          </cell>
          <cell r="B2287" t="str">
            <v>COMMISSION ON WUMT(LCY)</v>
          </cell>
          <cell r="C2287">
            <v>0</v>
          </cell>
          <cell r="D2287">
            <v>0</v>
          </cell>
          <cell r="E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</row>
        <row r="2288">
          <cell r="A2288">
            <v>420040090</v>
          </cell>
          <cell r="B2288" t="str">
            <v>EXCHANGE COMMISSION ON TRANSFERS</v>
          </cell>
          <cell r="C2288">
            <v>0</v>
          </cell>
          <cell r="D2288">
            <v>0</v>
          </cell>
          <cell r="E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</row>
        <row r="2289">
          <cell r="A2289">
            <v>420040100</v>
          </cell>
          <cell r="B2289" t="str">
            <v>FOREIGN CHQ/DRAFT COMM</v>
          </cell>
          <cell r="C2289">
            <v>0</v>
          </cell>
          <cell r="D2289">
            <v>0</v>
          </cell>
          <cell r="E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</row>
        <row r="2290">
          <cell r="A2290" t="str">
            <v>_x0012_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</row>
        <row r="2291"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</row>
        <row r="2292">
          <cell r="C2292" t="str">
            <v>Polaris Bank Limited, N</v>
          </cell>
          <cell r="D2292" t="str">
            <v>igeria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</row>
        <row r="2293">
          <cell r="C2293" t="str">
            <v>** Consolidated Balance Shee</v>
          </cell>
          <cell r="D2293" t="str">
            <v>t CBN **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</row>
        <row r="2294"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</row>
        <row r="2295">
          <cell r="C2295" t="str">
            <v>As on :     31-OCT-2025</v>
          </cell>
          <cell r="E2295" t="str">
            <v>Page   :   41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</row>
        <row r="2296"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</row>
        <row r="2297">
          <cell r="A2297" t="str">
            <v>User Id :</v>
          </cell>
          <cell r="B2297" t="str">
            <v>SYSTEM</v>
          </cell>
          <cell r="C2297" t="str">
            <v>Date 1 Time :     01-NOV-2025</v>
          </cell>
          <cell r="D2297">
            <v>0.21625000000000003</v>
          </cell>
          <cell r="E2297" t="str">
            <v>Module :   GL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</row>
        <row r="2298">
          <cell r="A2298" t="str">
            <v>----------</v>
          </cell>
          <cell r="B2298" t="str">
            <v>----------------------------------------</v>
          </cell>
          <cell r="C2298" t="str">
            <v>------------------------------</v>
          </cell>
          <cell r="D2298" t="str">
            <v>------------------------------</v>
          </cell>
          <cell r="E2298" t="str">
            <v>----------------------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</row>
        <row r="2299">
          <cell r="A2299" t="str">
            <v>GL Code</v>
          </cell>
          <cell r="B2299" t="str">
            <v>Description</v>
          </cell>
          <cell r="C2299" t="str">
            <v>LCY Amount</v>
          </cell>
          <cell r="D2299" t="str">
            <v>FCY Amount (Lcy Eq)</v>
          </cell>
          <cell r="E2299" t="str">
            <v>Total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</row>
        <row r="2300"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</row>
        <row r="2301">
          <cell r="A2301" t="str">
            <v>----------</v>
          </cell>
          <cell r="B2301" t="str">
            <v>----------------------------------------</v>
          </cell>
          <cell r="C2301" t="str">
            <v>------------------------------</v>
          </cell>
          <cell r="D2301" t="str">
            <v>------------------------------</v>
          </cell>
          <cell r="E2301" t="str">
            <v>----------------------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</row>
        <row r="2302">
          <cell r="A2302" t="str">
            <v>Income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</row>
        <row r="2303"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</row>
        <row r="2304">
          <cell r="A2304">
            <v>420040110</v>
          </cell>
          <cell r="B2304" t="str">
            <v>INCOME ON FX PLACEMENT</v>
          </cell>
          <cell r="C2304">
            <v>0</v>
          </cell>
          <cell r="D2304">
            <v>0</v>
          </cell>
          <cell r="E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</row>
        <row r="2305">
          <cell r="A2305">
            <v>430010000</v>
          </cell>
          <cell r="B2305" t="str">
            <v>DIVIDEND INCOME</v>
          </cell>
          <cell r="C2305">
            <v>206509759.19999999</v>
          </cell>
          <cell r="D2305">
            <v>0</v>
          </cell>
          <cell r="E2305">
            <v>206509759.19999999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206509759.19999999</v>
          </cell>
          <cell r="T2305">
            <v>206509759.19999999</v>
          </cell>
        </row>
        <row r="2306">
          <cell r="A2306">
            <v>430020000</v>
          </cell>
          <cell r="B2306" t="str">
            <v>RENT INCOME</v>
          </cell>
          <cell r="C2306">
            <v>233798250.06</v>
          </cell>
          <cell r="D2306">
            <v>0</v>
          </cell>
          <cell r="E2306">
            <v>233798250.06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233798250.06</v>
          </cell>
          <cell r="T2306">
            <v>233798250.06</v>
          </cell>
        </row>
        <row r="2307">
          <cell r="A2307">
            <v>430030010</v>
          </cell>
          <cell r="B2307" t="str">
            <v>FGN BONDS DISC EARNEDá (AMORTISE</v>
          </cell>
          <cell r="C2307">
            <v>246653598.44999999</v>
          </cell>
          <cell r="D2307">
            <v>0</v>
          </cell>
          <cell r="E2307">
            <v>246653598.44999999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246653598.44999999</v>
          </cell>
          <cell r="T2307">
            <v>246653598.44999999</v>
          </cell>
        </row>
        <row r="2308">
          <cell r="A2308">
            <v>430030020</v>
          </cell>
          <cell r="B2308" t="str">
            <v>FGN BONDS DISC EARNEDá (FVTPL)</v>
          </cell>
          <cell r="C2308">
            <v>0</v>
          </cell>
          <cell r="D2308">
            <v>0</v>
          </cell>
          <cell r="E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</row>
        <row r="2309">
          <cell r="A2309">
            <v>430030040</v>
          </cell>
          <cell r="B2309" t="str">
            <v>CORP BONDS DISC EARNEDá (AMORTIS</v>
          </cell>
          <cell r="C2309">
            <v>-12850.43</v>
          </cell>
          <cell r="D2309">
            <v>0</v>
          </cell>
          <cell r="E2309">
            <v>-12850.43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-12850.43</v>
          </cell>
          <cell r="T2309">
            <v>-12850.43</v>
          </cell>
        </row>
        <row r="2310">
          <cell r="A2310">
            <v>430030070</v>
          </cell>
          <cell r="B2310" t="str">
            <v>EURO BONDS DISC EARNEDá (AMORTIS</v>
          </cell>
          <cell r="C2310">
            <v>0.01</v>
          </cell>
          <cell r="D2310">
            <v>0</v>
          </cell>
          <cell r="E2310">
            <v>0.01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0.01</v>
          </cell>
          <cell r="T2310">
            <v>0.01</v>
          </cell>
        </row>
        <row r="2311">
          <cell r="A2311">
            <v>430030100</v>
          </cell>
          <cell r="B2311" t="str">
            <v>STATE GOVT BONDS DISC EARNEDá (A</v>
          </cell>
          <cell r="C2311">
            <v>-1327461.8400000001</v>
          </cell>
          <cell r="D2311">
            <v>0</v>
          </cell>
          <cell r="E2311">
            <v>-1327461.8400000001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-1327461.8400000001</v>
          </cell>
          <cell r="T2311">
            <v>-1327461.8400000001</v>
          </cell>
        </row>
        <row r="2312">
          <cell r="A2312">
            <v>430030130</v>
          </cell>
          <cell r="B2312" t="str">
            <v>FGN BONDS REVALUATION GAINá (FVT</v>
          </cell>
          <cell r="C2312">
            <v>-18532012.52</v>
          </cell>
          <cell r="D2312">
            <v>0</v>
          </cell>
          <cell r="E2312">
            <v>-18532012.52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-18532012.52</v>
          </cell>
          <cell r="T2312">
            <v>-18532012.52</v>
          </cell>
        </row>
        <row r="2313">
          <cell r="A2313">
            <v>430030140</v>
          </cell>
          <cell r="B2313" t="str">
            <v>FGN BONDS REVALUATION GAINáá (FV</v>
          </cell>
          <cell r="C2313">
            <v>0</v>
          </cell>
          <cell r="D2313">
            <v>0</v>
          </cell>
          <cell r="E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</row>
        <row r="2314">
          <cell r="A2314">
            <v>430030210</v>
          </cell>
          <cell r="B2314" t="str">
            <v>T.BILLS BONDS REVALUATION GAINá</v>
          </cell>
          <cell r="C2314">
            <v>44952532.909999996</v>
          </cell>
          <cell r="D2314">
            <v>0</v>
          </cell>
          <cell r="E2314">
            <v>44952532.909999996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44952532.909999996</v>
          </cell>
          <cell r="T2314">
            <v>44952532.909999996</v>
          </cell>
        </row>
        <row r="2315">
          <cell r="A2315">
            <v>430030230</v>
          </cell>
          <cell r="B2315" t="str">
            <v>AMORTISED COST GAIN</v>
          </cell>
          <cell r="C2315">
            <v>1578680321.77</v>
          </cell>
          <cell r="D2315">
            <v>0</v>
          </cell>
          <cell r="E2315">
            <v>1578680321.77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1578680321.77</v>
          </cell>
          <cell r="T2315">
            <v>1578680321.77</v>
          </cell>
        </row>
        <row r="2316">
          <cell r="A2316">
            <v>430030240</v>
          </cell>
          <cell r="B2316" t="str">
            <v>INT. INCOME-DISCOUNTED INSTRUMEN</v>
          </cell>
          <cell r="C2316">
            <v>0</v>
          </cell>
          <cell r="D2316">
            <v>0</v>
          </cell>
          <cell r="E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</row>
        <row r="2317">
          <cell r="A2317">
            <v>440010010</v>
          </cell>
          <cell r="B2317" t="str">
            <v>FORM M PROCESSING FEE GL</v>
          </cell>
          <cell r="C2317">
            <v>5086000</v>
          </cell>
          <cell r="D2317">
            <v>0</v>
          </cell>
          <cell r="E2317">
            <v>5086000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5086000</v>
          </cell>
          <cell r="T2317">
            <v>5086000</v>
          </cell>
        </row>
        <row r="2318">
          <cell r="A2318">
            <v>440010020</v>
          </cell>
          <cell r="B2318" t="str">
            <v>T.T FX INCOME USD</v>
          </cell>
          <cell r="C2318">
            <v>1740917199.26</v>
          </cell>
          <cell r="D2318">
            <v>0</v>
          </cell>
          <cell r="E2318">
            <v>1740917199.26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1740917199.26</v>
          </cell>
          <cell r="T2318">
            <v>1740917199.26</v>
          </cell>
        </row>
        <row r="2319">
          <cell r="A2319">
            <v>440010030</v>
          </cell>
          <cell r="B2319" t="str">
            <v>T.T FX INCOME GBP</v>
          </cell>
          <cell r="C2319">
            <v>15242828.15</v>
          </cell>
          <cell r="D2319">
            <v>0</v>
          </cell>
          <cell r="E2319">
            <v>15242828.15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15242828.15</v>
          </cell>
          <cell r="T2319">
            <v>15242828.15</v>
          </cell>
        </row>
        <row r="2320">
          <cell r="A2320">
            <v>440010040</v>
          </cell>
          <cell r="B2320" t="str">
            <v>T.T FX INCOME. EUR</v>
          </cell>
          <cell r="C2320">
            <v>42707118.810000002</v>
          </cell>
          <cell r="D2320">
            <v>0</v>
          </cell>
          <cell r="E2320">
            <v>42707118.810000002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42707118.810000002</v>
          </cell>
          <cell r="T2320">
            <v>42707118.810000002</v>
          </cell>
        </row>
        <row r="2321">
          <cell r="A2321">
            <v>440010050</v>
          </cell>
          <cell r="B2321" t="str">
            <v>INVISIBLE  TRANSACTION COMM.</v>
          </cell>
          <cell r="C2321">
            <v>275105403.89999998</v>
          </cell>
          <cell r="D2321">
            <v>0</v>
          </cell>
          <cell r="E2321">
            <v>275105403.89999998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275105403.89999998</v>
          </cell>
          <cell r="T2321">
            <v>275105403.89999998</v>
          </cell>
        </row>
        <row r="2322">
          <cell r="A2322">
            <v>440010060</v>
          </cell>
          <cell r="B2322" t="str">
            <v>OFFSHORE GTEE HANDLING COMM</v>
          </cell>
          <cell r="C2322">
            <v>0</v>
          </cell>
          <cell r="D2322">
            <v>0</v>
          </cell>
          <cell r="E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</row>
        <row r="2323">
          <cell r="A2323">
            <v>440010070</v>
          </cell>
          <cell r="B2323" t="str">
            <v>TELEX RECOVERY</v>
          </cell>
          <cell r="C2323">
            <v>846859294.04999995</v>
          </cell>
          <cell r="D2323">
            <v>0</v>
          </cell>
          <cell r="E2323">
            <v>846859294.04999995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846859294.04999995</v>
          </cell>
          <cell r="T2323">
            <v>846859294.04999995</v>
          </cell>
        </row>
        <row r="2324">
          <cell r="A2324">
            <v>440010080</v>
          </cell>
          <cell r="B2324" t="str">
            <v>OTHER FX EARNINGS</v>
          </cell>
          <cell r="C2324">
            <v>2651430491.7800002</v>
          </cell>
          <cell r="D2324">
            <v>0</v>
          </cell>
          <cell r="E2324">
            <v>2651430491.7800002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2651430491.7800002</v>
          </cell>
          <cell r="T2324">
            <v>2651430491.7800002</v>
          </cell>
        </row>
        <row r="2325">
          <cell r="A2325">
            <v>440010090</v>
          </cell>
          <cell r="B2325" t="str">
            <v>FX REVALUATION GAIN</v>
          </cell>
          <cell r="C2325">
            <v>319691460177.59003</v>
          </cell>
          <cell r="D2325">
            <v>0</v>
          </cell>
          <cell r="E2325">
            <v>319691460177.59003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319691460177.59003</v>
          </cell>
          <cell r="T2325">
            <v>319691460177.59003</v>
          </cell>
        </row>
        <row r="2326">
          <cell r="A2326">
            <v>440010100</v>
          </cell>
          <cell r="B2326" t="str">
            <v>FX CASH HANDLING INCOME</v>
          </cell>
          <cell r="C2326">
            <v>0</v>
          </cell>
          <cell r="D2326">
            <v>0</v>
          </cell>
          <cell r="E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</row>
        <row r="2327">
          <cell r="A2327">
            <v>450010000</v>
          </cell>
          <cell r="B2327" t="str">
            <v>LOAN RECOVERY INCOME</v>
          </cell>
          <cell r="C2327">
            <v>1363752972.8499999</v>
          </cell>
          <cell r="D2327">
            <v>0</v>
          </cell>
          <cell r="E2327">
            <v>1363752972.8499999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1363752972.8499999</v>
          </cell>
          <cell r="T2327">
            <v>1363752972.8499999</v>
          </cell>
        </row>
        <row r="2328">
          <cell r="A2328">
            <v>450010010</v>
          </cell>
          <cell r="B2328" t="str">
            <v>CASH LIMIT CHARGES</v>
          </cell>
          <cell r="C2328">
            <v>133310000</v>
          </cell>
          <cell r="D2328">
            <v>0</v>
          </cell>
          <cell r="E2328">
            <v>133310000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133310000</v>
          </cell>
          <cell r="T2328">
            <v>133310000</v>
          </cell>
        </row>
        <row r="2329">
          <cell r="A2329">
            <v>450010020</v>
          </cell>
          <cell r="B2329" t="str">
            <v>OTHER RECOVERY</v>
          </cell>
          <cell r="C2329">
            <v>107270644</v>
          </cell>
          <cell r="D2329">
            <v>0</v>
          </cell>
          <cell r="E2329">
            <v>107270644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107270644</v>
          </cell>
          <cell r="T2329">
            <v>107270644</v>
          </cell>
        </row>
        <row r="2330">
          <cell r="A2330">
            <v>450010021</v>
          </cell>
          <cell r="B2330" t="str">
            <v>WRITE-BACK ON ECL DEBT SECURITIE</v>
          </cell>
          <cell r="C2330">
            <v>1907728540.1500001</v>
          </cell>
          <cell r="D2330">
            <v>0</v>
          </cell>
          <cell r="E2330">
            <v>1907728540.1500001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1907728540.1500001</v>
          </cell>
          <cell r="T2330">
            <v>-1907728540.1500001</v>
          </cell>
        </row>
        <row r="2331">
          <cell r="A2331">
            <v>450010030</v>
          </cell>
          <cell r="B2331" t="str">
            <v>MTN ON DEMAND INCOME</v>
          </cell>
          <cell r="C2331">
            <v>18071996.300000001</v>
          </cell>
          <cell r="D2331">
            <v>0</v>
          </cell>
          <cell r="E2331">
            <v>18071996.300000001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18071996.300000001</v>
          </cell>
          <cell r="T2331">
            <v>18071996.300000001</v>
          </cell>
        </row>
        <row r="2332">
          <cell r="A2332">
            <v>450010070</v>
          </cell>
          <cell r="B2332" t="str">
            <v>OTHERS ACQUIRER INCOME</v>
          </cell>
          <cell r="C2332">
            <v>0</v>
          </cell>
          <cell r="D2332">
            <v>0</v>
          </cell>
          <cell r="E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</row>
        <row r="2333">
          <cell r="A2333">
            <v>450010071</v>
          </cell>
          <cell r="B2333" t="str">
            <v>TOKEN INCOME</v>
          </cell>
          <cell r="C2333">
            <v>211247.51</v>
          </cell>
          <cell r="D2333">
            <v>0</v>
          </cell>
          <cell r="E2333">
            <v>211247.51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211247.51</v>
          </cell>
          <cell r="T2333">
            <v>211247.51</v>
          </cell>
        </row>
        <row r="2334">
          <cell r="A2334">
            <v>450010072</v>
          </cell>
          <cell r="B2334" t="str">
            <v>AGENCY BANKING INCOME</v>
          </cell>
          <cell r="C2334">
            <v>50656460.640000001</v>
          </cell>
          <cell r="D2334">
            <v>0</v>
          </cell>
          <cell r="E2334">
            <v>50656460.640000001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50656460.640000001</v>
          </cell>
          <cell r="T2334">
            <v>50656460.640000001</v>
          </cell>
        </row>
        <row r="2335">
          <cell r="A2335">
            <v>450010074</v>
          </cell>
          <cell r="B2335" t="str">
            <v>API GATEWAY INCOME ACCOUNT</v>
          </cell>
          <cell r="C2335">
            <v>2423772.48</v>
          </cell>
          <cell r="D2335">
            <v>0</v>
          </cell>
          <cell r="E2335">
            <v>2423772.48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2423772.48</v>
          </cell>
          <cell r="T2335">
            <v>2423772.48</v>
          </cell>
        </row>
        <row r="2336">
          <cell r="A2336">
            <v>450010075</v>
          </cell>
          <cell r="B2336" t="str">
            <v>INC. POL. EXCLUSIVE CLUB A/C</v>
          </cell>
          <cell r="C2336">
            <v>0</v>
          </cell>
          <cell r="D2336">
            <v>0</v>
          </cell>
          <cell r="E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</row>
        <row r="2337"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</row>
        <row r="2338"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</row>
        <row r="2339">
          <cell r="B2339" t="str">
            <v>*******</v>
          </cell>
          <cell r="C2339" t="str">
            <v>*********************  *******</v>
          </cell>
          <cell r="D2339" t="str">
            <v>**********************  ******</v>
          </cell>
          <cell r="E2339" t="str">
            <v>**********************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</row>
        <row r="2340">
          <cell r="A2340" t="str">
            <v>**** TOTAL</v>
          </cell>
          <cell r="B2340" t="str">
            <v>Income</v>
          </cell>
          <cell r="C2340">
            <v>597159092268.91003</v>
          </cell>
          <cell r="D2340">
            <v>0</v>
          </cell>
          <cell r="E2340">
            <v>597159092268.91003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</row>
        <row r="2341">
          <cell r="B2341" t="str">
            <v>*******</v>
          </cell>
          <cell r="C2341" t="str">
            <v>*********************  *******</v>
          </cell>
          <cell r="D2341" t="str">
            <v>**********************  ******</v>
          </cell>
          <cell r="E2341" t="str">
            <v>**********************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</row>
        <row r="2342"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</row>
        <row r="2343"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</row>
        <row r="2344">
          <cell r="A2344" t="str">
            <v>_x0012_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</row>
        <row r="2345"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</row>
        <row r="2346">
          <cell r="C2346" t="str">
            <v>Polaris Bank Limited, N</v>
          </cell>
          <cell r="D2346" t="str">
            <v>igeria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</row>
        <row r="2347">
          <cell r="C2347" t="str">
            <v>** Consolidated Balance Shee</v>
          </cell>
          <cell r="D2347" t="str">
            <v>t CBN **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</row>
        <row r="2348"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</row>
        <row r="2349">
          <cell r="C2349" t="str">
            <v>As on :     31-OCT-2025</v>
          </cell>
          <cell r="E2349" t="str">
            <v>Page   :   42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</row>
        <row r="2350"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</row>
        <row r="2351">
          <cell r="A2351" t="str">
            <v>User Id :</v>
          </cell>
          <cell r="B2351" t="str">
            <v>SYSTEM</v>
          </cell>
          <cell r="C2351" t="str">
            <v>Date 1 Time :     01-NOV-2025</v>
          </cell>
          <cell r="D2351">
            <v>0.21625000000000003</v>
          </cell>
          <cell r="E2351" t="str">
            <v>Module :   GL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</row>
        <row r="2352">
          <cell r="A2352" t="str">
            <v>----------</v>
          </cell>
          <cell r="B2352" t="str">
            <v>----------------------------------------</v>
          </cell>
          <cell r="C2352" t="str">
            <v>------------------------------</v>
          </cell>
          <cell r="D2352" t="str">
            <v>------------------------------</v>
          </cell>
          <cell r="E2352" t="str">
            <v>----------------------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</row>
        <row r="2353">
          <cell r="A2353" t="str">
            <v>GL Code</v>
          </cell>
          <cell r="B2353" t="str">
            <v>Description</v>
          </cell>
          <cell r="C2353" t="str">
            <v>LCY Amount</v>
          </cell>
          <cell r="D2353" t="str">
            <v>FCY Amount (Lcy Eq)</v>
          </cell>
          <cell r="E2353" t="str">
            <v>Total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</row>
        <row r="2354"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</row>
        <row r="2355">
          <cell r="A2355" t="str">
            <v>----------</v>
          </cell>
          <cell r="B2355" t="str">
            <v>----------------------------------------</v>
          </cell>
          <cell r="C2355" t="str">
            <v>------------------------------</v>
          </cell>
          <cell r="D2355" t="str">
            <v>------------------------------</v>
          </cell>
          <cell r="E2355" t="str">
            <v>----------------------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</row>
        <row r="2356">
          <cell r="A2356" t="str">
            <v>Expense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</row>
        <row r="2357"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</row>
        <row r="2358">
          <cell r="A2358">
            <v>510010010</v>
          </cell>
          <cell r="B2358" t="str">
            <v>INT. EXP. ON IB/DH TAKINGS   TER</v>
          </cell>
          <cell r="C2358">
            <v>76328439.200000003</v>
          </cell>
          <cell r="D2358">
            <v>0</v>
          </cell>
          <cell r="E2358">
            <v>76328439.200000003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76328439.200000003</v>
          </cell>
          <cell r="T2358">
            <v>76328439.200000003</v>
          </cell>
        </row>
        <row r="2359">
          <cell r="A2359">
            <v>510010020</v>
          </cell>
          <cell r="B2359" t="str">
            <v>INT. EXP. ON I/B TAKINGS OVERNIG</v>
          </cell>
          <cell r="C2359">
            <v>0</v>
          </cell>
          <cell r="D2359">
            <v>0</v>
          </cell>
          <cell r="E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</row>
        <row r="2360">
          <cell r="A2360">
            <v>510010030</v>
          </cell>
          <cell r="B2360" t="str">
            <v>INT EXP -SECURED I/B TAKINGS - C</v>
          </cell>
          <cell r="C2360">
            <v>1613456849.3099999</v>
          </cell>
          <cell r="D2360">
            <v>0</v>
          </cell>
          <cell r="E2360">
            <v>1613456849.3099999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1613456849.3099999</v>
          </cell>
          <cell r="T2360">
            <v>1613456849.3099999</v>
          </cell>
        </row>
        <row r="2361">
          <cell r="A2361">
            <v>510010040</v>
          </cell>
          <cell r="B2361" t="str">
            <v>INT. EXP. ON BOND TRADING</v>
          </cell>
          <cell r="C2361">
            <v>0</v>
          </cell>
          <cell r="D2361">
            <v>0</v>
          </cell>
          <cell r="E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</row>
        <row r="2362">
          <cell r="A2362">
            <v>510010050</v>
          </cell>
          <cell r="B2362" t="str">
            <v>INT. EXP. DOLLAR SAVINGS A/C</v>
          </cell>
          <cell r="C2362">
            <v>0</v>
          </cell>
          <cell r="D2362">
            <v>0</v>
          </cell>
          <cell r="E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</row>
        <row r="2363">
          <cell r="A2363">
            <v>510010060</v>
          </cell>
          <cell r="B2363" t="str">
            <v>INT. EXP. ON STD SAVINGS DEP (10</v>
          </cell>
          <cell r="C2363">
            <v>19407857436.25</v>
          </cell>
          <cell r="D2363">
            <v>0</v>
          </cell>
          <cell r="E2363">
            <v>19407857436.25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19407857436.25</v>
          </cell>
          <cell r="T2363">
            <v>19407857436.25</v>
          </cell>
        </row>
        <row r="2364">
          <cell r="A2364">
            <v>510010070</v>
          </cell>
          <cell r="B2364" t="str">
            <v>INT. EXP. ON STAFF SAVINGS</v>
          </cell>
          <cell r="C2364">
            <v>46632815.700000003</v>
          </cell>
          <cell r="D2364">
            <v>0</v>
          </cell>
          <cell r="E2364">
            <v>46632815.700000003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46632815.700000003</v>
          </cell>
          <cell r="T2364">
            <v>46632815.700000003</v>
          </cell>
        </row>
        <row r="2365">
          <cell r="A2365">
            <v>510010080</v>
          </cell>
          <cell r="B2365" t="str">
            <v>INT. EXP. ON POLARIS TREASURE (1</v>
          </cell>
          <cell r="C2365">
            <v>0</v>
          </cell>
          <cell r="D2365">
            <v>0</v>
          </cell>
          <cell r="E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</row>
        <row r="2366">
          <cell r="A2366">
            <v>510010090</v>
          </cell>
          <cell r="B2366" t="str">
            <v>INT. EXP. WORKPLACE BANKING (WRB</v>
          </cell>
          <cell r="C2366">
            <v>449180990.19999999</v>
          </cell>
          <cell r="D2366">
            <v>0</v>
          </cell>
          <cell r="E2366">
            <v>449180990.19999999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449180990.19999999</v>
          </cell>
          <cell r="T2366">
            <v>449180990.19999999</v>
          </cell>
        </row>
        <row r="2367">
          <cell r="A2367">
            <v>510010100</v>
          </cell>
          <cell r="B2367" t="str">
            <v>INT. EXP. ON CAMPUSPLUS (113)</v>
          </cell>
          <cell r="C2367">
            <v>297091577.04000002</v>
          </cell>
          <cell r="D2367">
            <v>0</v>
          </cell>
          <cell r="E2367">
            <v>297091577.04000002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297091577.04000002</v>
          </cell>
          <cell r="T2367">
            <v>297091577.04000002</v>
          </cell>
        </row>
        <row r="2368">
          <cell r="A2368">
            <v>510010110</v>
          </cell>
          <cell r="B2368" t="str">
            <v>INT. EXP. ON CALL DEPOSITS</v>
          </cell>
          <cell r="C2368">
            <v>50518606.259999998</v>
          </cell>
          <cell r="D2368">
            <v>0</v>
          </cell>
          <cell r="E2368">
            <v>50518606.259999998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50518606.259999998</v>
          </cell>
          <cell r="T2368">
            <v>50518606.259999998</v>
          </cell>
        </row>
        <row r="2369">
          <cell r="A2369">
            <v>510010120</v>
          </cell>
          <cell r="B2369" t="str">
            <v>INT. EXP. ON TERM DEPOSITS   004</v>
          </cell>
          <cell r="C2369">
            <v>0</v>
          </cell>
          <cell r="D2369">
            <v>0</v>
          </cell>
          <cell r="E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</row>
        <row r="2370">
          <cell r="A2370">
            <v>510010130</v>
          </cell>
          <cell r="B2370" t="str">
            <v>INT. EXP. ON TERM DEPOSITS   006</v>
          </cell>
          <cell r="C2370">
            <v>69612141442.020004</v>
          </cell>
          <cell r="D2370">
            <v>0</v>
          </cell>
          <cell r="E2370">
            <v>69612141442.020004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69612141442.020004</v>
          </cell>
          <cell r="T2370">
            <v>69612141442.020004</v>
          </cell>
        </row>
        <row r="2371">
          <cell r="A2371">
            <v>510010140</v>
          </cell>
          <cell r="B2371" t="str">
            <v>INT. EXP. STD CURR DEP INDV (176</v>
          </cell>
          <cell r="C2371">
            <v>19521279.239999998</v>
          </cell>
          <cell r="D2371">
            <v>0</v>
          </cell>
          <cell r="E2371">
            <v>19521279.239999998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19521279.239999998</v>
          </cell>
          <cell r="T2371">
            <v>19521279.239999998</v>
          </cell>
        </row>
        <row r="2372">
          <cell r="A2372">
            <v>510010150</v>
          </cell>
          <cell r="B2372" t="str">
            <v>INT. EXP. STD CURR DEP CORP (177</v>
          </cell>
          <cell r="C2372">
            <v>4393353431.2600002</v>
          </cell>
          <cell r="D2372">
            <v>0</v>
          </cell>
          <cell r="E2372">
            <v>4393353431.2600002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4393353431.2600002</v>
          </cell>
          <cell r="T2372">
            <v>4393353431.2600002</v>
          </cell>
        </row>
        <row r="2373">
          <cell r="A2373">
            <v>510010160</v>
          </cell>
          <cell r="B2373" t="str">
            <v>INT. EXP. POLARIS SUPPORT</v>
          </cell>
          <cell r="C2373">
            <v>0</v>
          </cell>
          <cell r="D2373">
            <v>0</v>
          </cell>
          <cell r="E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</row>
        <row r="2374">
          <cell r="A2374">
            <v>510010170</v>
          </cell>
          <cell r="B2374" t="str">
            <v>INT. EXP. POLARIS SELECT CORPORA</v>
          </cell>
          <cell r="C2374">
            <v>1520435132.3399999</v>
          </cell>
          <cell r="D2374">
            <v>0</v>
          </cell>
          <cell r="E2374">
            <v>1520435132.3399999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1520435132.3399999</v>
          </cell>
          <cell r="T2374">
            <v>1520435132.3399999</v>
          </cell>
        </row>
        <row r="2375">
          <cell r="A2375">
            <v>510010180</v>
          </cell>
          <cell r="B2375" t="str">
            <v>INT. EXP. POLARIS GLOBAL ACCOUNT</v>
          </cell>
          <cell r="C2375">
            <v>1523967.12</v>
          </cell>
          <cell r="D2375">
            <v>0</v>
          </cell>
          <cell r="E2375">
            <v>1523967.12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1523967.12</v>
          </cell>
          <cell r="T2375">
            <v>1523967.12</v>
          </cell>
        </row>
        <row r="2376">
          <cell r="A2376">
            <v>510010190</v>
          </cell>
          <cell r="B2376" t="str">
            <v>INT. EXP. ON STAFF PEN. SAVINGS</v>
          </cell>
          <cell r="C2376">
            <v>495527.83</v>
          </cell>
          <cell r="D2376">
            <v>0</v>
          </cell>
          <cell r="E2376">
            <v>495527.83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495527.83</v>
          </cell>
          <cell r="T2376">
            <v>495527.83</v>
          </cell>
        </row>
        <row r="2377">
          <cell r="A2377">
            <v>510020010</v>
          </cell>
          <cell r="B2377" t="str">
            <v>INT. EXP. - FOREIGN</v>
          </cell>
          <cell r="C2377">
            <v>0</v>
          </cell>
          <cell r="D2377">
            <v>0</v>
          </cell>
          <cell r="E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</row>
        <row r="2378">
          <cell r="A2378">
            <v>510020020</v>
          </cell>
          <cell r="B2378" t="str">
            <v>INT.EXPENSE- LOCAL FACILITY</v>
          </cell>
          <cell r="C2378">
            <v>1056203474.08</v>
          </cell>
          <cell r="D2378">
            <v>0</v>
          </cell>
          <cell r="E2378">
            <v>1056203474.08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1056203474.08</v>
          </cell>
          <cell r="T2378">
            <v>1056203474.08</v>
          </cell>
        </row>
        <row r="2379">
          <cell r="A2379">
            <v>510030010</v>
          </cell>
          <cell r="B2379" t="str">
            <v>OTH INT. EXP.NEP DOM A/CS USD (2</v>
          </cell>
          <cell r="C2379">
            <v>4408588.5999999996</v>
          </cell>
          <cell r="D2379">
            <v>0</v>
          </cell>
          <cell r="E2379">
            <v>4408588.5999999996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4408588.5999999996</v>
          </cell>
          <cell r="T2379">
            <v>4408588.5999999996</v>
          </cell>
        </row>
        <row r="2380">
          <cell r="A2380">
            <v>510030020</v>
          </cell>
          <cell r="B2380" t="str">
            <v>INT. EXP. CONFIR. LINE</v>
          </cell>
          <cell r="C2380">
            <v>643846038.13999999</v>
          </cell>
          <cell r="D2380">
            <v>0</v>
          </cell>
          <cell r="E2380">
            <v>643846038.13999999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643846038.13999999</v>
          </cell>
          <cell r="T2380">
            <v>643846038.13999999</v>
          </cell>
        </row>
        <row r="2381">
          <cell r="A2381">
            <v>510030030</v>
          </cell>
          <cell r="B2381" t="str">
            <v>OTH INT. EXP.NEP DOM A/CS GBP (2</v>
          </cell>
          <cell r="C2381">
            <v>0</v>
          </cell>
          <cell r="D2381">
            <v>0</v>
          </cell>
          <cell r="E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</row>
        <row r="2382">
          <cell r="A2382">
            <v>510030040</v>
          </cell>
          <cell r="B2382" t="str">
            <v>OTHER INT. EXP. DOM A/C EUR</v>
          </cell>
          <cell r="C2382">
            <v>0</v>
          </cell>
          <cell r="D2382">
            <v>0</v>
          </cell>
          <cell r="E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</row>
        <row r="2383">
          <cell r="A2383">
            <v>510030050</v>
          </cell>
          <cell r="B2383" t="str">
            <v>OTHER INT. EXP.   OTHERS</v>
          </cell>
          <cell r="C2383">
            <v>4380000</v>
          </cell>
          <cell r="D2383">
            <v>0</v>
          </cell>
          <cell r="E2383">
            <v>4380000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4380000</v>
          </cell>
          <cell r="T2383">
            <v>4380000</v>
          </cell>
        </row>
        <row r="2384">
          <cell r="A2384">
            <v>510030052</v>
          </cell>
          <cell r="B2384" t="str">
            <v>INT. EXP- PROMISORY NOTES (FVTPL</v>
          </cell>
          <cell r="C2384">
            <v>0</v>
          </cell>
          <cell r="D2384">
            <v>0</v>
          </cell>
          <cell r="E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</row>
        <row r="2385">
          <cell r="A2385">
            <v>510030053</v>
          </cell>
          <cell r="B2385" t="str">
            <v>INT. EXP- PROMISORY NOTES TRADIN</v>
          </cell>
          <cell r="C2385">
            <v>6477869.3600000003</v>
          </cell>
          <cell r="D2385">
            <v>0</v>
          </cell>
          <cell r="E2385">
            <v>6477869.3600000003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6477869.3600000003</v>
          </cell>
          <cell r="T2385">
            <v>6477869.3600000003</v>
          </cell>
        </row>
        <row r="2386">
          <cell r="A2386">
            <v>510030056</v>
          </cell>
          <cell r="B2386" t="str">
            <v>INT. EXP- COMMERCIAL PAPERS TRAD</v>
          </cell>
          <cell r="C2386">
            <v>0</v>
          </cell>
          <cell r="D2386">
            <v>0</v>
          </cell>
          <cell r="E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</row>
        <row r="2387">
          <cell r="A2387">
            <v>510030060</v>
          </cell>
          <cell r="B2387" t="str">
            <v>OTHER INT. EXP.POLARIS DISC.NOTE</v>
          </cell>
          <cell r="C2387">
            <v>5532115744.0600004</v>
          </cell>
          <cell r="D2387">
            <v>0</v>
          </cell>
          <cell r="E2387">
            <v>5532115744.0600004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5532115744.0600004</v>
          </cell>
          <cell r="T2387">
            <v>5532115744.0600004</v>
          </cell>
        </row>
        <row r="2388">
          <cell r="A2388">
            <v>510030070</v>
          </cell>
          <cell r="B2388" t="str">
            <v>INT EXPENSE ON POLARIS TREASURY</v>
          </cell>
          <cell r="C2388">
            <v>0</v>
          </cell>
          <cell r="D2388">
            <v>0</v>
          </cell>
          <cell r="E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</row>
        <row r="2389">
          <cell r="A2389">
            <v>510030080</v>
          </cell>
          <cell r="B2389" t="str">
            <v>INT EXPENSE- PUBLIC SECTOR DEPOS</v>
          </cell>
          <cell r="C2389">
            <v>360715452.57999998</v>
          </cell>
          <cell r="D2389">
            <v>0</v>
          </cell>
          <cell r="E2389">
            <v>360715452.57999998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360715452.57999998</v>
          </cell>
          <cell r="T2389">
            <v>360715452.57999998</v>
          </cell>
        </row>
        <row r="2390">
          <cell r="A2390">
            <v>510030100</v>
          </cell>
          <cell r="B2390" t="str">
            <v>OTHER INT. EXP.  T. DEP</v>
          </cell>
          <cell r="C2390">
            <v>1399390974.0799999</v>
          </cell>
          <cell r="D2390">
            <v>0</v>
          </cell>
          <cell r="E2390">
            <v>1399390974.0799999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1399390974.0799999</v>
          </cell>
          <cell r="T2390">
            <v>1399390974.0799999</v>
          </cell>
        </row>
        <row r="2391">
          <cell r="A2391">
            <v>510030110</v>
          </cell>
          <cell r="B2391" t="str">
            <v>INT EXP-POLARIS HIGH YIELD NOTE</v>
          </cell>
          <cell r="C2391">
            <v>0</v>
          </cell>
          <cell r="D2391">
            <v>0</v>
          </cell>
          <cell r="E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</row>
        <row r="2392">
          <cell r="A2392">
            <v>510030130</v>
          </cell>
          <cell r="B2392" t="str">
            <v>INT EXP-LEASE</v>
          </cell>
          <cell r="C2392">
            <v>253431781.71000001</v>
          </cell>
          <cell r="D2392">
            <v>0</v>
          </cell>
          <cell r="E2392">
            <v>253431781.71000001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253431781.71000001</v>
          </cell>
          <cell r="T2392">
            <v>253431781.71000001</v>
          </cell>
        </row>
        <row r="2393">
          <cell r="A2393">
            <v>520010010</v>
          </cell>
          <cell r="B2393" t="str">
            <v>ECL ON OFF BAL SHEET ENGAGEMNT</v>
          </cell>
          <cell r="C2393">
            <v>2952824058.8699999</v>
          </cell>
          <cell r="D2393">
            <v>0</v>
          </cell>
          <cell r="E2393">
            <v>2952824058.8699999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2952824058.8699999</v>
          </cell>
          <cell r="T2393">
            <v>2952824058.8699999</v>
          </cell>
        </row>
        <row r="2394">
          <cell r="A2394">
            <v>520010020</v>
          </cell>
          <cell r="B2394" t="str">
            <v>SPECIFIC INPAIRMENT</v>
          </cell>
          <cell r="C2394">
            <v>0</v>
          </cell>
          <cell r="D2394">
            <v>0</v>
          </cell>
          <cell r="E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</row>
        <row r="2395">
          <cell r="A2395">
            <v>520010050</v>
          </cell>
          <cell r="B2395" t="str">
            <v>IMPAIRMENT EXPENSE ON ECL LOANS</v>
          </cell>
          <cell r="C2395">
            <v>-300000000</v>
          </cell>
          <cell r="D2395">
            <v>0</v>
          </cell>
          <cell r="E2395">
            <v>-300000000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-300000000</v>
          </cell>
          <cell r="T2395">
            <v>-300000000</v>
          </cell>
        </row>
        <row r="2396">
          <cell r="A2396">
            <v>520020000</v>
          </cell>
          <cell r="B2396" t="str">
            <v>IMPAIRMENT EXPENSE OF OTHER FINA</v>
          </cell>
          <cell r="C2396">
            <v>10000000</v>
          </cell>
          <cell r="D2396">
            <v>0</v>
          </cell>
          <cell r="E2396">
            <v>10000000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10000000</v>
          </cell>
          <cell r="T2396">
            <v>10000000</v>
          </cell>
        </row>
        <row r="2397">
          <cell r="A2397">
            <v>520020010</v>
          </cell>
          <cell r="B2397" t="str">
            <v>IMPAIRMENT EXPENSE ON ECL DEBT S</v>
          </cell>
          <cell r="C2397">
            <v>1323514703.01</v>
          </cell>
          <cell r="D2397">
            <v>0</v>
          </cell>
          <cell r="E2397">
            <v>1323514703.01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1323514703.01</v>
          </cell>
          <cell r="T2397">
            <v>1323514703.01</v>
          </cell>
        </row>
        <row r="2398">
          <cell r="A2398">
            <v>520020011</v>
          </cell>
          <cell r="B2398" t="str">
            <v>IMPAIRMENT EXPENSE ON ECL STATE</v>
          </cell>
          <cell r="C2398">
            <v>0</v>
          </cell>
          <cell r="D2398">
            <v>0</v>
          </cell>
          <cell r="E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</row>
        <row r="2399">
          <cell r="A2399">
            <v>520020012</v>
          </cell>
          <cell r="B2399" t="str">
            <v>IMPAIRMENT EXPENSE ON ECL EURO B</v>
          </cell>
          <cell r="C2399">
            <v>0</v>
          </cell>
          <cell r="D2399">
            <v>0</v>
          </cell>
          <cell r="E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</row>
        <row r="2400">
          <cell r="A2400">
            <v>520030000</v>
          </cell>
          <cell r="B2400" t="str">
            <v>IMP. EXPENSE ON FINANCIAL ASSETS</v>
          </cell>
          <cell r="C2400">
            <v>24573399</v>
          </cell>
          <cell r="D2400">
            <v>0</v>
          </cell>
          <cell r="E2400">
            <v>24573399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24573399</v>
          </cell>
          <cell r="T2400">
            <v>24573399</v>
          </cell>
        </row>
        <row r="2401">
          <cell r="A2401">
            <v>530010010</v>
          </cell>
          <cell r="B2401" t="str">
            <v>LOAN RECOVERY COMM.</v>
          </cell>
          <cell r="C2401">
            <v>5909791.9500000002</v>
          </cell>
          <cell r="D2401">
            <v>0</v>
          </cell>
          <cell r="E2401">
            <v>5909791.9500000002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5909791.9500000002</v>
          </cell>
          <cell r="T2401">
            <v>5909791.9500000002</v>
          </cell>
        </row>
        <row r="2402">
          <cell r="A2402">
            <v>530010020</v>
          </cell>
          <cell r="B2402" t="str">
            <v>REVENUE COLLECTION EXPENSES</v>
          </cell>
          <cell r="C2402">
            <v>0</v>
          </cell>
          <cell r="D2402">
            <v>0</v>
          </cell>
          <cell r="E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</row>
        <row r="2403">
          <cell r="A2403" t="str">
            <v>_x0012_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</row>
        <row r="2404"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</row>
        <row r="2405">
          <cell r="C2405" t="str">
            <v>Polaris Bank Limited, N</v>
          </cell>
          <cell r="D2405" t="str">
            <v>igeria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</row>
        <row r="2406">
          <cell r="C2406" t="str">
            <v>** Consolidated Balance Shee</v>
          </cell>
          <cell r="D2406" t="str">
            <v>t CBN **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</row>
        <row r="2407"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</row>
        <row r="2408">
          <cell r="C2408" t="str">
            <v>As on :     31-OCT-2025</v>
          </cell>
          <cell r="E2408" t="str">
            <v>Page   :   43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</row>
        <row r="2409"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</row>
        <row r="2410">
          <cell r="A2410" t="str">
            <v>User Id :</v>
          </cell>
          <cell r="B2410" t="str">
            <v>SYSTEM</v>
          </cell>
          <cell r="C2410" t="str">
            <v>Date 1 Time :     01-NOV-2025</v>
          </cell>
          <cell r="D2410">
            <v>0.21625000000000003</v>
          </cell>
          <cell r="E2410" t="str">
            <v>Module :   GL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</row>
        <row r="2411">
          <cell r="A2411" t="str">
            <v>----------</v>
          </cell>
          <cell r="B2411" t="str">
            <v>----------------------------------------</v>
          </cell>
          <cell r="C2411" t="str">
            <v>------------------------------</v>
          </cell>
          <cell r="D2411" t="str">
            <v>------------------------------</v>
          </cell>
          <cell r="E2411" t="str">
            <v>----------------------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</row>
        <row r="2412">
          <cell r="A2412" t="str">
            <v>GL Code</v>
          </cell>
          <cell r="B2412" t="str">
            <v>Description</v>
          </cell>
          <cell r="C2412" t="str">
            <v>LCY Amount</v>
          </cell>
          <cell r="D2412" t="str">
            <v>FCY Amount (Lcy Eq)</v>
          </cell>
          <cell r="E2412" t="str">
            <v>Total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</row>
        <row r="2413"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</row>
        <row r="2414">
          <cell r="A2414" t="str">
            <v>----------</v>
          </cell>
          <cell r="B2414" t="str">
            <v>----------------------------------------</v>
          </cell>
          <cell r="C2414" t="str">
            <v>------------------------------</v>
          </cell>
          <cell r="D2414" t="str">
            <v>------------------------------</v>
          </cell>
          <cell r="E2414" t="str">
            <v>----------------------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</row>
        <row r="2415">
          <cell r="A2415" t="str">
            <v>Expense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</row>
        <row r="2416"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</row>
        <row r="2417">
          <cell r="A2417">
            <v>530010030</v>
          </cell>
          <cell r="B2417" t="str">
            <v>SWIFT EXPENSES</v>
          </cell>
          <cell r="C2417">
            <v>0</v>
          </cell>
          <cell r="D2417">
            <v>0</v>
          </cell>
          <cell r="E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</row>
        <row r="2418">
          <cell r="A2418">
            <v>530010040</v>
          </cell>
          <cell r="B2418" t="str">
            <v>NEFT/NIBSS TRANSFER CHARGES</v>
          </cell>
          <cell r="C2418">
            <v>345965702.36000001</v>
          </cell>
          <cell r="D2418">
            <v>0</v>
          </cell>
          <cell r="E2418">
            <v>345965702.36000001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345965702.36000001</v>
          </cell>
          <cell r="T2418">
            <v>345965702.36000001</v>
          </cell>
        </row>
        <row r="2419">
          <cell r="A2419">
            <v>530010050</v>
          </cell>
          <cell r="B2419" t="str">
            <v>SNP/NIBSS CHARGES</v>
          </cell>
          <cell r="C2419">
            <v>43670</v>
          </cell>
          <cell r="D2419">
            <v>0</v>
          </cell>
          <cell r="E2419">
            <v>43670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43670</v>
          </cell>
          <cell r="T2419">
            <v>43670</v>
          </cell>
        </row>
        <row r="2420">
          <cell r="A2420">
            <v>530010060</v>
          </cell>
          <cell r="B2420" t="str">
            <v>BANK CHARGES PAID TO OTHER BANKS</v>
          </cell>
          <cell r="C2420">
            <v>290238885.02999997</v>
          </cell>
          <cell r="D2420">
            <v>0</v>
          </cell>
          <cell r="E2420">
            <v>290238885.02999997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290238885.02999997</v>
          </cell>
          <cell r="T2420">
            <v>290238885.02999997</v>
          </cell>
        </row>
        <row r="2421">
          <cell r="A2421">
            <v>540010000</v>
          </cell>
          <cell r="B2421" t="str">
            <v>DEPRN - LEASEHOLD LAND AND BUILD</v>
          </cell>
          <cell r="C2421">
            <v>468163434.41000003</v>
          </cell>
          <cell r="D2421">
            <v>0</v>
          </cell>
          <cell r="E2421">
            <v>468163434.41000003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468163434.41000003</v>
          </cell>
          <cell r="T2421">
            <v>468163434.41000003</v>
          </cell>
        </row>
        <row r="2422">
          <cell r="A2422">
            <v>540020000</v>
          </cell>
          <cell r="B2422" t="str">
            <v>DEPRN - LEASEHOLD IMPROVEMENT</v>
          </cell>
          <cell r="C2422">
            <v>234309463.5</v>
          </cell>
          <cell r="D2422">
            <v>0</v>
          </cell>
          <cell r="E2422">
            <v>234309463.5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234309463.5</v>
          </cell>
          <cell r="T2422">
            <v>234309463.5</v>
          </cell>
        </row>
        <row r="2423">
          <cell r="A2423">
            <v>540030000</v>
          </cell>
          <cell r="B2423" t="str">
            <v>DEPRN - PLANT AND EQUIPMENT</v>
          </cell>
          <cell r="C2423">
            <v>904892436.25</v>
          </cell>
          <cell r="D2423">
            <v>0</v>
          </cell>
          <cell r="E2423">
            <v>904892436.25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904892436.25</v>
          </cell>
          <cell r="T2423">
            <v>904892436.25</v>
          </cell>
        </row>
        <row r="2424">
          <cell r="A2424">
            <v>540040000</v>
          </cell>
          <cell r="B2424" t="str">
            <v>DEPRN - OFFICE FURNITURE</v>
          </cell>
          <cell r="C2424">
            <v>94900790.909999996</v>
          </cell>
          <cell r="D2424">
            <v>0</v>
          </cell>
          <cell r="E2424">
            <v>94900790.909999996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94900790.909999996</v>
          </cell>
          <cell r="T2424">
            <v>94900790.909999996</v>
          </cell>
        </row>
        <row r="2425">
          <cell r="A2425">
            <v>540050000</v>
          </cell>
          <cell r="B2425" t="str">
            <v>IMPAIRMENT OF P.P.E AND INTANGIB</v>
          </cell>
          <cell r="C2425">
            <v>40850000</v>
          </cell>
          <cell r="D2425">
            <v>0</v>
          </cell>
          <cell r="E2425">
            <v>40850000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40850000</v>
          </cell>
          <cell r="T2425">
            <v>40850000</v>
          </cell>
        </row>
        <row r="2426">
          <cell r="A2426">
            <v>540060000</v>
          </cell>
          <cell r="B2426" t="str">
            <v>DEPRN - MOTOR VEHICLES</v>
          </cell>
          <cell r="C2426">
            <v>735459230.21000004</v>
          </cell>
          <cell r="D2426">
            <v>0</v>
          </cell>
          <cell r="E2426">
            <v>735459230.21000004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735459230.21000004</v>
          </cell>
          <cell r="T2426">
            <v>735459230.21000004</v>
          </cell>
        </row>
        <row r="2427">
          <cell r="A2427">
            <v>540070000</v>
          </cell>
          <cell r="B2427" t="str">
            <v>DEPRN - INFORMATION TECH EQUIPME</v>
          </cell>
          <cell r="C2427">
            <v>1694736605.6600001</v>
          </cell>
          <cell r="D2427">
            <v>0</v>
          </cell>
          <cell r="E2427">
            <v>1694736605.6600001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1694736605.6600001</v>
          </cell>
          <cell r="T2427">
            <v>1694736605.6600001</v>
          </cell>
        </row>
        <row r="2428">
          <cell r="A2428">
            <v>540080000</v>
          </cell>
          <cell r="B2428" t="str">
            <v>DEPRN - INTANGIBLE ASSETS</v>
          </cell>
          <cell r="C2428">
            <v>2238269331.3499999</v>
          </cell>
          <cell r="D2428">
            <v>0</v>
          </cell>
          <cell r="E2428">
            <v>2238269331.3499999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2238269331.3499999</v>
          </cell>
          <cell r="T2428">
            <v>2238269331.3499999</v>
          </cell>
        </row>
        <row r="2429">
          <cell r="A2429">
            <v>540090000</v>
          </cell>
          <cell r="B2429" t="str">
            <v>DEPRN. OTHER FIXED ASSETS</v>
          </cell>
          <cell r="C2429">
            <v>0</v>
          </cell>
          <cell r="D2429">
            <v>0</v>
          </cell>
          <cell r="E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</row>
        <row r="2430">
          <cell r="A2430">
            <v>550010010</v>
          </cell>
          <cell r="B2430" t="str">
            <v>STAFF BASIC SALARIES BASIC  MGNT</v>
          </cell>
          <cell r="C2430">
            <v>4016791305.9299998</v>
          </cell>
          <cell r="D2430">
            <v>0</v>
          </cell>
          <cell r="E2430">
            <v>4016791305.9299998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4016791305.9299998</v>
          </cell>
          <cell r="T2430">
            <v>4016791305.9299998</v>
          </cell>
        </row>
        <row r="2431">
          <cell r="A2431">
            <v>550010020</v>
          </cell>
          <cell r="B2431" t="str">
            <v>NON MGNT - CONTRACT PAYMENT</v>
          </cell>
          <cell r="C2431">
            <v>5751049670.8000002</v>
          </cell>
          <cell r="D2431">
            <v>0</v>
          </cell>
          <cell r="E2431">
            <v>5751049670.8000002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5751049670.8000002</v>
          </cell>
          <cell r="T2431">
            <v>5751049670.8000002</v>
          </cell>
        </row>
        <row r="2432">
          <cell r="A2432">
            <v>550010030</v>
          </cell>
          <cell r="B2432" t="str">
            <v>OVERTIME NON MGNT</v>
          </cell>
          <cell r="C2432">
            <v>143216625</v>
          </cell>
          <cell r="D2432">
            <v>0</v>
          </cell>
          <cell r="E2432">
            <v>143216625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143216625</v>
          </cell>
          <cell r="T2432">
            <v>143216625</v>
          </cell>
        </row>
        <row r="2433">
          <cell r="A2433">
            <v>550010040</v>
          </cell>
          <cell r="B2433" t="str">
            <v>BASIC SALARIES DSA</v>
          </cell>
          <cell r="C2433">
            <v>527878805.88</v>
          </cell>
          <cell r="D2433">
            <v>0</v>
          </cell>
          <cell r="E2433">
            <v>527878805.88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527878805.88</v>
          </cell>
          <cell r="T2433">
            <v>527878805.88</v>
          </cell>
        </row>
        <row r="2434">
          <cell r="A2434">
            <v>550010050</v>
          </cell>
          <cell r="B2434" t="str">
            <v>STAFF BASIC SALARIES BASIC  MID-</v>
          </cell>
          <cell r="C2434">
            <v>38958333.329999998</v>
          </cell>
          <cell r="D2434">
            <v>0</v>
          </cell>
          <cell r="E2434">
            <v>38958333.329999998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38958333.329999998</v>
          </cell>
          <cell r="T2434">
            <v>38958333.329999998</v>
          </cell>
        </row>
        <row r="2435">
          <cell r="A2435">
            <v>550020010</v>
          </cell>
          <cell r="B2435" t="str">
            <v>DOMESTIC ALLOWANCES</v>
          </cell>
          <cell r="C2435">
            <v>0</v>
          </cell>
          <cell r="D2435">
            <v>0</v>
          </cell>
          <cell r="E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</row>
        <row r="2436">
          <cell r="A2436">
            <v>550020020</v>
          </cell>
          <cell r="B2436" t="str">
            <v>STAFF TRANSPORT ALLOWANCES</v>
          </cell>
          <cell r="C2436">
            <v>2990955085.8099999</v>
          </cell>
          <cell r="D2436">
            <v>0</v>
          </cell>
          <cell r="E2436">
            <v>2990955085.8099999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2990955085.8099999</v>
          </cell>
          <cell r="T2436">
            <v>2990955085.8099999</v>
          </cell>
        </row>
        <row r="2437">
          <cell r="A2437">
            <v>550020030</v>
          </cell>
          <cell r="B2437" t="str">
            <v>STAFF DRIVERS ALLOWANCES</v>
          </cell>
          <cell r="C2437">
            <v>0</v>
          </cell>
          <cell r="D2437">
            <v>0</v>
          </cell>
          <cell r="E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</row>
        <row r="2438">
          <cell r="A2438">
            <v>550020040</v>
          </cell>
          <cell r="B2438" t="str">
            <v>STAFF EDUCATION ALLOWANCES</v>
          </cell>
          <cell r="C2438">
            <v>1566127096.8499999</v>
          </cell>
          <cell r="D2438">
            <v>0</v>
          </cell>
          <cell r="E2438">
            <v>1566127096.8499999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1566127096.8499999</v>
          </cell>
          <cell r="T2438">
            <v>1566127096.8499999</v>
          </cell>
        </row>
        <row r="2439">
          <cell r="A2439">
            <v>550020050</v>
          </cell>
          <cell r="B2439" t="str">
            <v>STAFF ENTERTAINMENT ALLOWANCES</v>
          </cell>
          <cell r="C2439">
            <v>677920245.72000003</v>
          </cell>
          <cell r="D2439">
            <v>0</v>
          </cell>
          <cell r="E2439">
            <v>677920245.72000003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677920245.72000003</v>
          </cell>
          <cell r="T2439">
            <v>677920245.72000003</v>
          </cell>
        </row>
        <row r="2440">
          <cell r="A2440">
            <v>550020060</v>
          </cell>
          <cell r="B2440" t="str">
            <v>STAFF FURNITURE ALLOWANCES</v>
          </cell>
          <cell r="C2440">
            <v>1297860828.6300001</v>
          </cell>
          <cell r="D2440">
            <v>0</v>
          </cell>
          <cell r="E2440">
            <v>1297860828.6300001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1297860828.6300001</v>
          </cell>
          <cell r="T2440">
            <v>1297860828.6300001</v>
          </cell>
        </row>
        <row r="2441">
          <cell r="A2441">
            <v>550020070</v>
          </cell>
          <cell r="B2441" t="str">
            <v>STAFF HOUSING ALLOWANCES</v>
          </cell>
          <cell r="C2441">
            <v>3027151436.79</v>
          </cell>
          <cell r="D2441">
            <v>0</v>
          </cell>
          <cell r="E2441">
            <v>3027151436.79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3027151436.79</v>
          </cell>
          <cell r="T2441">
            <v>3027151436.79</v>
          </cell>
        </row>
        <row r="2442">
          <cell r="A2442">
            <v>550020080</v>
          </cell>
          <cell r="B2442" t="str">
            <v>STAFF LEAVE ALLOWANCES</v>
          </cell>
          <cell r="C2442">
            <v>556672651.22000003</v>
          </cell>
          <cell r="D2442">
            <v>0</v>
          </cell>
          <cell r="E2442">
            <v>556672651.22000003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556672651.22000003</v>
          </cell>
          <cell r="T2442">
            <v>556672651.22000003</v>
          </cell>
        </row>
        <row r="2443">
          <cell r="A2443">
            <v>550020090</v>
          </cell>
          <cell r="B2443" t="str">
            <v>STAFF LUNCH ALLOWANCES</v>
          </cell>
          <cell r="C2443">
            <v>1115596321.51</v>
          </cell>
          <cell r="D2443">
            <v>0</v>
          </cell>
          <cell r="E2443">
            <v>1115596321.51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1115596321.51</v>
          </cell>
          <cell r="T2443">
            <v>1115596321.51</v>
          </cell>
        </row>
        <row r="2444">
          <cell r="A2444">
            <v>550020100</v>
          </cell>
          <cell r="B2444" t="str">
            <v>STAFF MEDICAL EXPENSES/ALLOWANCE</v>
          </cell>
          <cell r="C2444">
            <v>1394268972.77</v>
          </cell>
          <cell r="D2444">
            <v>0</v>
          </cell>
          <cell r="E2444">
            <v>1394268972.77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1394268972.77</v>
          </cell>
          <cell r="T2444">
            <v>1394268972.77</v>
          </cell>
        </row>
        <row r="2445">
          <cell r="A2445">
            <v>550020110</v>
          </cell>
          <cell r="B2445" t="str">
            <v>OUT OF STATION EXPENSES</v>
          </cell>
          <cell r="C2445">
            <v>201964327.53999999</v>
          </cell>
          <cell r="D2445">
            <v>0</v>
          </cell>
          <cell r="E2445">
            <v>201964327.53999999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201964327.53999999</v>
          </cell>
          <cell r="T2445">
            <v>201964327.53999999</v>
          </cell>
        </row>
        <row r="2446">
          <cell r="A2446">
            <v>550020120</v>
          </cell>
          <cell r="B2446" t="str">
            <v>DRIVERS / DISPATCH</v>
          </cell>
          <cell r="C2446">
            <v>3930288</v>
          </cell>
          <cell r="D2446">
            <v>0</v>
          </cell>
          <cell r="E2446">
            <v>3930288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3930288</v>
          </cell>
          <cell r="T2446">
            <v>3930288</v>
          </cell>
        </row>
        <row r="2447">
          <cell r="A2447">
            <v>550020130</v>
          </cell>
          <cell r="B2447" t="str">
            <v>STAFF UTILITY ALLOWANCES</v>
          </cell>
          <cell r="C2447">
            <v>1290384253.72</v>
          </cell>
          <cell r="D2447">
            <v>0</v>
          </cell>
          <cell r="E2447">
            <v>1290384253.72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1290384253.72</v>
          </cell>
          <cell r="T2447">
            <v>1290384253.72</v>
          </cell>
        </row>
        <row r="2448">
          <cell r="A2448">
            <v>550020140</v>
          </cell>
          <cell r="B2448" t="str">
            <v>STAFF 13TH MONTH ALLOWANCES</v>
          </cell>
          <cell r="C2448">
            <v>340931458.41000003</v>
          </cell>
          <cell r="D2448">
            <v>0</v>
          </cell>
          <cell r="E2448">
            <v>340931458.41000003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340931458.41000003</v>
          </cell>
          <cell r="T2448">
            <v>340931458.41000003</v>
          </cell>
        </row>
        <row r="2449">
          <cell r="A2449">
            <v>550020150</v>
          </cell>
          <cell r="B2449" t="str">
            <v>POLARIS SELAC1 EXPENSE</v>
          </cell>
          <cell r="C2449">
            <v>0</v>
          </cell>
          <cell r="D2449">
            <v>0</v>
          </cell>
          <cell r="E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</row>
        <row r="2450">
          <cell r="A2450">
            <v>550020160</v>
          </cell>
          <cell r="B2450" t="str">
            <v>OTHER ALLOWANCES</v>
          </cell>
          <cell r="C2450">
            <v>1241383277.2</v>
          </cell>
          <cell r="D2450">
            <v>0</v>
          </cell>
          <cell r="E2450">
            <v>1241383277.2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1241383277.2</v>
          </cell>
          <cell r="T2450">
            <v>1241383277.2</v>
          </cell>
        </row>
        <row r="2451">
          <cell r="A2451">
            <v>550020170</v>
          </cell>
          <cell r="B2451" t="str">
            <v>STAFF CLOTHING ALLOWANCE</v>
          </cell>
          <cell r="C2451">
            <v>0</v>
          </cell>
          <cell r="D2451">
            <v>0</v>
          </cell>
          <cell r="E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</row>
        <row r="2452">
          <cell r="A2452">
            <v>550020180</v>
          </cell>
          <cell r="B2452" t="str">
            <v>STAFF PAY FOR PERFORMANCE/ BONUS</v>
          </cell>
          <cell r="C2452">
            <v>0</v>
          </cell>
          <cell r="D2452">
            <v>0</v>
          </cell>
          <cell r="E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</row>
        <row r="2453">
          <cell r="A2453">
            <v>550020190</v>
          </cell>
          <cell r="B2453" t="str">
            <v>STAFF DRESSING ALLOWANCES</v>
          </cell>
          <cell r="C2453">
            <v>1028221099.97</v>
          </cell>
          <cell r="D2453">
            <v>0</v>
          </cell>
          <cell r="E2453">
            <v>1028221099.97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1028221099.97</v>
          </cell>
          <cell r="T2453">
            <v>1028221099.97</v>
          </cell>
        </row>
        <row r="2454">
          <cell r="A2454">
            <v>550020200</v>
          </cell>
          <cell r="B2454" t="str">
            <v>DRESSING EXPENSES NON MGT</v>
          </cell>
          <cell r="C2454">
            <v>0</v>
          </cell>
          <cell r="D2454">
            <v>0</v>
          </cell>
          <cell r="E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</row>
        <row r="2455">
          <cell r="A2455">
            <v>550020210</v>
          </cell>
          <cell r="B2455" t="str">
            <v>STAFF TELEPHONE ALLOWANCES</v>
          </cell>
          <cell r="C2455">
            <v>989915631.22000003</v>
          </cell>
          <cell r="D2455">
            <v>0</v>
          </cell>
          <cell r="E2455">
            <v>989915631.22000003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989915631.22000003</v>
          </cell>
          <cell r="T2455">
            <v>989915631.22000003</v>
          </cell>
        </row>
        <row r="2456">
          <cell r="A2456">
            <v>550020220</v>
          </cell>
          <cell r="B2456" t="str">
            <v>STAFF QUARTERLY ALLOWANCES</v>
          </cell>
          <cell r="C2456">
            <v>0</v>
          </cell>
          <cell r="D2456">
            <v>0</v>
          </cell>
          <cell r="E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</row>
        <row r="2457">
          <cell r="A2457">
            <v>550020230</v>
          </cell>
          <cell r="B2457" t="str">
            <v>STAFF DIESEL ALLOWANCE</v>
          </cell>
          <cell r="C2457">
            <v>0</v>
          </cell>
          <cell r="D2457">
            <v>0</v>
          </cell>
          <cell r="E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</row>
        <row r="2458">
          <cell r="A2458">
            <v>550030010</v>
          </cell>
          <cell r="B2458" t="str">
            <v>OTHER STAFF BENEFIT   NSITF</v>
          </cell>
          <cell r="C2458">
            <v>209220546.33000001</v>
          </cell>
          <cell r="D2458">
            <v>0</v>
          </cell>
          <cell r="E2458">
            <v>209220546.33000001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209220546.33000001</v>
          </cell>
          <cell r="T2458">
            <v>209220546.33000001</v>
          </cell>
        </row>
        <row r="2459">
          <cell r="A2459">
            <v>550030020</v>
          </cell>
          <cell r="B2459" t="str">
            <v>OTHER STAFF BENEFIT   CLUB SUBSC</v>
          </cell>
          <cell r="C2459">
            <v>0</v>
          </cell>
          <cell r="D2459">
            <v>0</v>
          </cell>
          <cell r="E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</row>
        <row r="2460">
          <cell r="A2460">
            <v>550030030</v>
          </cell>
          <cell r="B2460" t="str">
            <v>OTHER STAFF BENEFIT   PENSION CO</v>
          </cell>
          <cell r="C2460">
            <v>1245138817.3599999</v>
          </cell>
          <cell r="D2460">
            <v>0</v>
          </cell>
          <cell r="E2460">
            <v>1245138817.3599999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1245138817.3599999</v>
          </cell>
          <cell r="T2460">
            <v>1245138817.3599999</v>
          </cell>
        </row>
        <row r="2461">
          <cell r="A2461" t="str">
            <v>_x0012_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</row>
        <row r="2462"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</row>
        <row r="2463">
          <cell r="C2463" t="str">
            <v>Polaris Bank Limited, N</v>
          </cell>
          <cell r="D2463" t="str">
            <v>igeria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</row>
        <row r="2464">
          <cell r="C2464" t="str">
            <v>** Consolidated Balance Shee</v>
          </cell>
          <cell r="D2464" t="str">
            <v>t CBN **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</row>
        <row r="2465"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</row>
        <row r="2466">
          <cell r="C2466" t="str">
            <v>As on :     31-OCT-2025</v>
          </cell>
          <cell r="E2466" t="str">
            <v>Page   :   44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</row>
        <row r="2467"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</row>
        <row r="2468">
          <cell r="A2468" t="str">
            <v>User Id :</v>
          </cell>
          <cell r="B2468" t="str">
            <v>SYSTEM</v>
          </cell>
          <cell r="C2468" t="str">
            <v>Date 1 Time :     01-NOV-2025</v>
          </cell>
          <cell r="D2468">
            <v>0.21625000000000003</v>
          </cell>
          <cell r="E2468" t="str">
            <v>Module :   GL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</row>
        <row r="2469">
          <cell r="A2469" t="str">
            <v>----------</v>
          </cell>
          <cell r="B2469" t="str">
            <v>----------------------------------------</v>
          </cell>
          <cell r="C2469" t="str">
            <v>------------------------------</v>
          </cell>
          <cell r="D2469" t="str">
            <v>------------------------------</v>
          </cell>
          <cell r="E2469" t="str">
            <v>----------------------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</row>
        <row r="2470">
          <cell r="A2470" t="str">
            <v>GL Code</v>
          </cell>
          <cell r="B2470" t="str">
            <v>Description</v>
          </cell>
          <cell r="C2470" t="str">
            <v>LCY Amount</v>
          </cell>
          <cell r="D2470" t="str">
            <v>FCY Amount (Lcy Eq)</v>
          </cell>
          <cell r="E2470" t="str">
            <v>Total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</row>
        <row r="2471"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</row>
        <row r="2472">
          <cell r="A2472" t="str">
            <v>----------</v>
          </cell>
          <cell r="B2472" t="str">
            <v>----------------------------------------</v>
          </cell>
          <cell r="C2472" t="str">
            <v>------------------------------</v>
          </cell>
          <cell r="D2472" t="str">
            <v>------------------------------</v>
          </cell>
          <cell r="E2472" t="str">
            <v>----------------------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</row>
        <row r="2473">
          <cell r="A2473" t="str">
            <v>Expense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</row>
        <row r="2474"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</row>
        <row r="2475">
          <cell r="A2475">
            <v>550030040</v>
          </cell>
          <cell r="B2475" t="str">
            <v>OTHER STAFF BENEFIT   NYSC/IT AL</v>
          </cell>
          <cell r="C2475">
            <v>178578993.69999999</v>
          </cell>
          <cell r="D2475">
            <v>0</v>
          </cell>
          <cell r="E2475">
            <v>178578993.69999999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178578993.69999999</v>
          </cell>
          <cell r="T2475">
            <v>178578993.69999999</v>
          </cell>
        </row>
        <row r="2476">
          <cell r="A2476">
            <v>550030050</v>
          </cell>
          <cell r="B2476" t="str">
            <v>OTHER STAFF BEN. INCENTIVE BONUS</v>
          </cell>
          <cell r="C2476">
            <v>3800100000</v>
          </cell>
          <cell r="D2476">
            <v>0</v>
          </cell>
          <cell r="E2476">
            <v>3800100000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3800100000</v>
          </cell>
          <cell r="T2476">
            <v>3800100000</v>
          </cell>
        </row>
        <row r="2477">
          <cell r="A2477">
            <v>550030060</v>
          </cell>
          <cell r="B2477" t="str">
            <v>OTHER STAFF BENEFIT   PROF. MEMB</v>
          </cell>
          <cell r="C2477">
            <v>40227959.030000001</v>
          </cell>
          <cell r="D2477">
            <v>0</v>
          </cell>
          <cell r="E2477">
            <v>40227959.030000001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40227959.030000001</v>
          </cell>
          <cell r="T2477">
            <v>40227959.030000001</v>
          </cell>
        </row>
        <row r="2478">
          <cell r="A2478">
            <v>550030070</v>
          </cell>
          <cell r="B2478" t="str">
            <v>OTHER STAFF BENEFIT PASSAGE ALLO</v>
          </cell>
          <cell r="C2478">
            <v>1140095293.3800001</v>
          </cell>
          <cell r="D2478">
            <v>0</v>
          </cell>
          <cell r="E2478">
            <v>1140095293.3800001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1140095293.3800001</v>
          </cell>
          <cell r="T2478">
            <v>1140095293.3800001</v>
          </cell>
        </row>
        <row r="2479">
          <cell r="A2479">
            <v>550030080</v>
          </cell>
          <cell r="B2479" t="str">
            <v>OTHER STAFF EXPENSES</v>
          </cell>
          <cell r="C2479">
            <v>175065063.56</v>
          </cell>
          <cell r="D2479">
            <v>0</v>
          </cell>
          <cell r="E2479">
            <v>175065063.56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175065063.56</v>
          </cell>
          <cell r="T2479">
            <v>175065063.56</v>
          </cell>
        </row>
        <row r="2480">
          <cell r="A2480">
            <v>550030090</v>
          </cell>
          <cell r="B2480" t="str">
            <v>STAFF GRATUITY</v>
          </cell>
          <cell r="C2480">
            <v>0</v>
          </cell>
          <cell r="D2480">
            <v>0</v>
          </cell>
          <cell r="E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</row>
        <row r="2481">
          <cell r="A2481">
            <v>550030100</v>
          </cell>
          <cell r="B2481" t="str">
            <v>STAFF UTILITY EXPENSES</v>
          </cell>
          <cell r="C2481">
            <v>0</v>
          </cell>
          <cell r="D2481">
            <v>0</v>
          </cell>
          <cell r="E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</row>
        <row r="2482">
          <cell r="A2482">
            <v>560010010</v>
          </cell>
          <cell r="B2482" t="str">
            <v>ADVERTISEMENT EXPS</v>
          </cell>
          <cell r="C2482">
            <v>457706167.72000003</v>
          </cell>
          <cell r="D2482">
            <v>0</v>
          </cell>
          <cell r="E2482">
            <v>457706167.72000003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457706167.72000003</v>
          </cell>
          <cell r="T2482">
            <v>457706167.72000003</v>
          </cell>
        </row>
        <row r="2483">
          <cell r="A2483">
            <v>560010020</v>
          </cell>
          <cell r="B2483" t="str">
            <v>BUSINESS PROMOTIONS</v>
          </cell>
          <cell r="C2483">
            <v>1359534836.24</v>
          </cell>
          <cell r="D2483">
            <v>0</v>
          </cell>
          <cell r="E2483">
            <v>1359534836.24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1359534836.24</v>
          </cell>
          <cell r="T2483">
            <v>1359534836.24</v>
          </cell>
        </row>
        <row r="2484">
          <cell r="A2484">
            <v>560010030</v>
          </cell>
          <cell r="B2484" t="str">
            <v>CORP GIFTS EXP A/C</v>
          </cell>
          <cell r="C2484">
            <v>176822566</v>
          </cell>
          <cell r="D2484">
            <v>0</v>
          </cell>
          <cell r="E2484">
            <v>176822566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176822566</v>
          </cell>
          <cell r="T2484">
            <v>176822566</v>
          </cell>
        </row>
        <row r="2485">
          <cell r="A2485">
            <v>560010040</v>
          </cell>
          <cell r="B2485" t="str">
            <v>CHARITIES &amp; DONATIONS</v>
          </cell>
          <cell r="C2485">
            <v>54222666.659999996</v>
          </cell>
          <cell r="D2485">
            <v>0</v>
          </cell>
          <cell r="E2485">
            <v>54222666.659999996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54222666.659999996</v>
          </cell>
          <cell r="T2485">
            <v>54222666.659999996</v>
          </cell>
        </row>
        <row r="2486">
          <cell r="A2486">
            <v>560010050</v>
          </cell>
          <cell r="B2486" t="str">
            <v>ENTERTAINMENT EXPS</v>
          </cell>
          <cell r="C2486">
            <v>125850200.68000001</v>
          </cell>
          <cell r="D2486">
            <v>0</v>
          </cell>
          <cell r="E2486">
            <v>125850200.68000001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125850200.68000001</v>
          </cell>
          <cell r="T2486">
            <v>125850200.68000001</v>
          </cell>
        </row>
        <row r="2487">
          <cell r="A2487">
            <v>560010060</v>
          </cell>
          <cell r="B2487" t="str">
            <v>WHT-EXPENSE ON SPECIAL DEPOSIT</v>
          </cell>
          <cell r="C2487">
            <v>3621880446</v>
          </cell>
          <cell r="D2487">
            <v>0</v>
          </cell>
          <cell r="E2487">
            <v>3621880446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3621880446</v>
          </cell>
          <cell r="T2487">
            <v>3621880446</v>
          </cell>
        </row>
        <row r="2488">
          <cell r="A2488">
            <v>560020010</v>
          </cell>
          <cell r="B2488" t="str">
            <v>CHEQUE PRINTING EXPS</v>
          </cell>
          <cell r="C2488">
            <v>84039313.5</v>
          </cell>
          <cell r="D2488">
            <v>0</v>
          </cell>
          <cell r="E2488">
            <v>84039313.5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84039313.5</v>
          </cell>
          <cell r="T2488">
            <v>84039313.5</v>
          </cell>
        </row>
        <row r="2489">
          <cell r="A2489">
            <v>560020020</v>
          </cell>
          <cell r="B2489" t="str">
            <v>COMPUTER CONSUMABLES</v>
          </cell>
          <cell r="C2489">
            <v>53799451.979999997</v>
          </cell>
          <cell r="D2489">
            <v>0</v>
          </cell>
          <cell r="E2489">
            <v>53799451.979999997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53799451.979999997</v>
          </cell>
          <cell r="T2489">
            <v>53799451.979999997</v>
          </cell>
        </row>
        <row r="2490">
          <cell r="A2490">
            <v>560020030</v>
          </cell>
          <cell r="B2490" t="str">
            <v>PRE PRINTED STATIONERY</v>
          </cell>
          <cell r="C2490">
            <v>125214002.98999999</v>
          </cell>
          <cell r="D2490">
            <v>0</v>
          </cell>
          <cell r="E2490">
            <v>125214002.98999999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125214002.98999999</v>
          </cell>
          <cell r="T2490">
            <v>125214002.98999999</v>
          </cell>
        </row>
        <row r="2491">
          <cell r="A2491">
            <v>560020040</v>
          </cell>
          <cell r="B2491" t="str">
            <v>OTHER STATIONERY</v>
          </cell>
          <cell r="C2491">
            <v>215120576.74000001</v>
          </cell>
          <cell r="D2491">
            <v>0</v>
          </cell>
          <cell r="E2491">
            <v>215120576.74000001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215120576.74000001</v>
          </cell>
          <cell r="T2491">
            <v>215120576.74000001</v>
          </cell>
        </row>
        <row r="2492">
          <cell r="A2492">
            <v>560020050</v>
          </cell>
          <cell r="B2492" t="str">
            <v>MICR STATIONERY</v>
          </cell>
          <cell r="C2492">
            <v>0</v>
          </cell>
          <cell r="D2492">
            <v>0</v>
          </cell>
          <cell r="E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</row>
        <row r="2493">
          <cell r="A2493">
            <v>560020060</v>
          </cell>
          <cell r="B2493" t="str">
            <v>STAMP DUTY</v>
          </cell>
          <cell r="C2493">
            <v>20000</v>
          </cell>
          <cell r="D2493">
            <v>0</v>
          </cell>
          <cell r="E2493">
            <v>20000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20000</v>
          </cell>
          <cell r="T2493">
            <v>20000</v>
          </cell>
        </row>
        <row r="2494">
          <cell r="A2494">
            <v>560020070</v>
          </cell>
          <cell r="B2494" t="str">
            <v>COURIER SERVICES</v>
          </cell>
          <cell r="C2494">
            <v>125619567.27</v>
          </cell>
          <cell r="D2494">
            <v>0</v>
          </cell>
          <cell r="E2494">
            <v>125619567.27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125619567.27</v>
          </cell>
          <cell r="T2494">
            <v>125619567.27</v>
          </cell>
        </row>
        <row r="2495">
          <cell r="A2495">
            <v>560020080</v>
          </cell>
          <cell r="B2495" t="str">
            <v>FOREIGN TRAVELS  LODGING &amp; PASSA</v>
          </cell>
          <cell r="C2495">
            <v>344209359.61000001</v>
          </cell>
          <cell r="D2495">
            <v>0</v>
          </cell>
          <cell r="E2495">
            <v>344209359.61000001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344209359.61000001</v>
          </cell>
          <cell r="T2495">
            <v>344209359.61000001</v>
          </cell>
        </row>
        <row r="2496">
          <cell r="A2496">
            <v>560030010</v>
          </cell>
          <cell r="B2496" t="str">
            <v>SATELLITE CABLE TV SUBSCRIPTION</v>
          </cell>
          <cell r="C2496">
            <v>14837400</v>
          </cell>
          <cell r="D2496">
            <v>0</v>
          </cell>
          <cell r="E2496">
            <v>14837400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14837400</v>
          </cell>
          <cell r="T2496">
            <v>14837400</v>
          </cell>
        </row>
        <row r="2497">
          <cell r="A2497">
            <v>560030020</v>
          </cell>
          <cell r="B2497" t="str">
            <v>INFO TECH TELECOMS EXPENSES</v>
          </cell>
          <cell r="C2497">
            <v>11356740.27</v>
          </cell>
          <cell r="D2497">
            <v>0</v>
          </cell>
          <cell r="E2497">
            <v>11356740.27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11356740.27</v>
          </cell>
          <cell r="T2497">
            <v>11356740.27</v>
          </cell>
        </row>
        <row r="2498">
          <cell r="A2498">
            <v>560030030</v>
          </cell>
          <cell r="B2498" t="str">
            <v>TELEPHONE EXPS</v>
          </cell>
          <cell r="C2498">
            <v>12265609.32</v>
          </cell>
          <cell r="D2498">
            <v>0</v>
          </cell>
          <cell r="E2498">
            <v>12265609.32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12265609.32</v>
          </cell>
          <cell r="T2498">
            <v>12265609.32</v>
          </cell>
        </row>
        <row r="2499">
          <cell r="A2499">
            <v>560030040</v>
          </cell>
          <cell r="B2499" t="str">
            <v>TELEPHONE EXPS   OFFICE</v>
          </cell>
          <cell r="C2499">
            <v>11931131.09</v>
          </cell>
          <cell r="D2499">
            <v>0</v>
          </cell>
          <cell r="E2499">
            <v>11931131.09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11931131.09</v>
          </cell>
          <cell r="T2499">
            <v>11931131.09</v>
          </cell>
        </row>
        <row r="2500">
          <cell r="A2500">
            <v>560030050</v>
          </cell>
          <cell r="B2500" t="str">
            <v>INTERNET ACCESS CHARGE</v>
          </cell>
          <cell r="C2500">
            <v>35640076.509999998</v>
          </cell>
          <cell r="D2500">
            <v>0</v>
          </cell>
          <cell r="E2500">
            <v>35640076.509999998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35640076.509999998</v>
          </cell>
          <cell r="T2500">
            <v>35640076.509999998</v>
          </cell>
        </row>
        <row r="2501">
          <cell r="A2501">
            <v>560030060</v>
          </cell>
          <cell r="B2501" t="str">
            <v>PAPERS AND PERIODICALS</v>
          </cell>
          <cell r="C2501">
            <v>5099600</v>
          </cell>
          <cell r="D2501">
            <v>0</v>
          </cell>
          <cell r="E2501">
            <v>5099600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5099600</v>
          </cell>
          <cell r="T2501">
            <v>5099600</v>
          </cell>
        </row>
        <row r="2502">
          <cell r="A2502">
            <v>560040010</v>
          </cell>
          <cell r="B2502" t="str">
            <v>LOCAL TRAINING EXPS</v>
          </cell>
          <cell r="C2502">
            <v>639504701.46000004</v>
          </cell>
          <cell r="D2502">
            <v>0</v>
          </cell>
          <cell r="E2502">
            <v>639504701.46000004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639504701.46000004</v>
          </cell>
          <cell r="T2502">
            <v>639504701.46000004</v>
          </cell>
        </row>
        <row r="2503">
          <cell r="A2503">
            <v>560040020</v>
          </cell>
          <cell r="B2503" t="str">
            <v>OVERSEAS TRAINING EXPS</v>
          </cell>
          <cell r="C2503">
            <v>233003941.06999999</v>
          </cell>
          <cell r="D2503">
            <v>0</v>
          </cell>
          <cell r="E2503">
            <v>233003941.06999999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233003941.06999999</v>
          </cell>
          <cell r="T2503">
            <v>233003941.06999999</v>
          </cell>
        </row>
        <row r="2504">
          <cell r="A2504">
            <v>560040030</v>
          </cell>
          <cell r="B2504" t="str">
            <v>RECRUITMENT &amp; OTHER EXPS</v>
          </cell>
          <cell r="C2504">
            <v>211477861.16</v>
          </cell>
          <cell r="D2504">
            <v>0</v>
          </cell>
          <cell r="E2504">
            <v>211477861.16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211477861.16</v>
          </cell>
          <cell r="T2504">
            <v>211477861.16</v>
          </cell>
        </row>
        <row r="2505">
          <cell r="A2505">
            <v>560040040</v>
          </cell>
          <cell r="B2505" t="str">
            <v>RELOCATION EXPS</v>
          </cell>
          <cell r="C2505">
            <v>192872223.31999999</v>
          </cell>
          <cell r="D2505">
            <v>0</v>
          </cell>
          <cell r="E2505">
            <v>192872223.31999999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192872223.31999999</v>
          </cell>
          <cell r="T2505">
            <v>192872223.31999999</v>
          </cell>
        </row>
        <row r="2506">
          <cell r="A2506">
            <v>560040050</v>
          </cell>
          <cell r="B2506" t="str">
            <v>IND. TRAINING FUND EXPS</v>
          </cell>
          <cell r="C2506">
            <v>250000000</v>
          </cell>
          <cell r="D2506">
            <v>0</v>
          </cell>
          <cell r="E2506">
            <v>250000000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250000000</v>
          </cell>
          <cell r="T2506">
            <v>250000000</v>
          </cell>
        </row>
        <row r="2507">
          <cell r="A2507">
            <v>560050010</v>
          </cell>
          <cell r="B2507" t="str">
            <v>LOCAL TRAVELS  LODGING &amp; PASSAGE</v>
          </cell>
          <cell r="C2507">
            <v>275607121.06999999</v>
          </cell>
          <cell r="D2507">
            <v>0</v>
          </cell>
          <cell r="E2507">
            <v>275607121.06999999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275607121.06999999</v>
          </cell>
          <cell r="T2507">
            <v>275607121.06999999</v>
          </cell>
        </row>
        <row r="2508">
          <cell r="A2508">
            <v>560050020</v>
          </cell>
          <cell r="B2508" t="str">
            <v>TAXI FARES</v>
          </cell>
          <cell r="C2508">
            <v>7295100</v>
          </cell>
          <cell r="D2508">
            <v>0</v>
          </cell>
          <cell r="E2508">
            <v>7295100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7295100</v>
          </cell>
          <cell r="T2508">
            <v>7295100</v>
          </cell>
        </row>
        <row r="2509">
          <cell r="A2509">
            <v>560060010</v>
          </cell>
          <cell r="B2509" t="str">
            <v>CLEANING SERVICES</v>
          </cell>
          <cell r="C2509">
            <v>794714400</v>
          </cell>
          <cell r="D2509">
            <v>0</v>
          </cell>
          <cell r="E2509">
            <v>794714400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794714400</v>
          </cell>
          <cell r="T2509">
            <v>794714400</v>
          </cell>
        </row>
        <row r="2510">
          <cell r="A2510">
            <v>560060020</v>
          </cell>
          <cell r="B2510" t="str">
            <v>GENERATOR DIESEL OFFICE</v>
          </cell>
          <cell r="C2510">
            <v>2491915451.54</v>
          </cell>
          <cell r="D2510">
            <v>0</v>
          </cell>
          <cell r="E2510">
            <v>2491915451.54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2491915451.54</v>
          </cell>
          <cell r="T2510">
            <v>2491915451.54</v>
          </cell>
        </row>
        <row r="2511">
          <cell r="A2511">
            <v>560060030</v>
          </cell>
          <cell r="B2511" t="str">
            <v>GENERATOR DIESEL RESIDENCE</v>
          </cell>
          <cell r="C2511">
            <v>32315100</v>
          </cell>
          <cell r="D2511">
            <v>0</v>
          </cell>
          <cell r="E2511">
            <v>32315100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32315100</v>
          </cell>
          <cell r="T2511">
            <v>32315100</v>
          </cell>
        </row>
        <row r="2512">
          <cell r="A2512">
            <v>560060040</v>
          </cell>
          <cell r="B2512" t="str">
            <v>UTILITIES   ELECTRICITY</v>
          </cell>
          <cell r="C2512">
            <v>1031741703.89</v>
          </cell>
          <cell r="D2512">
            <v>0</v>
          </cell>
          <cell r="E2512">
            <v>1031741703.89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1031741703.89</v>
          </cell>
          <cell r="T2512">
            <v>1031741703.89</v>
          </cell>
        </row>
        <row r="2513">
          <cell r="A2513">
            <v>560060050</v>
          </cell>
          <cell r="B2513" t="str">
            <v>UTILITIES   WATER RATES</v>
          </cell>
          <cell r="C2513">
            <v>10030180.220000001</v>
          </cell>
          <cell r="D2513">
            <v>0</v>
          </cell>
          <cell r="E2513">
            <v>10030180.220000001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10030180.220000001</v>
          </cell>
          <cell r="T2513">
            <v>10030180.220000001</v>
          </cell>
        </row>
        <row r="2514">
          <cell r="A2514">
            <v>560060060</v>
          </cell>
          <cell r="B2514" t="str">
            <v>UTILITIES   CLEANING</v>
          </cell>
          <cell r="C2514">
            <v>224556332.81</v>
          </cell>
          <cell r="D2514">
            <v>0</v>
          </cell>
          <cell r="E2514">
            <v>224556332.81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224556332.81</v>
          </cell>
          <cell r="T2514">
            <v>224556332.81</v>
          </cell>
        </row>
        <row r="2515">
          <cell r="A2515">
            <v>560060070</v>
          </cell>
          <cell r="B2515" t="str">
            <v>UTILITIES ELECTRICITY (PAAS)</v>
          </cell>
          <cell r="C2515">
            <v>1645556198.05</v>
          </cell>
          <cell r="D2515">
            <v>0</v>
          </cell>
          <cell r="E2515">
            <v>1645556198.05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1645556198.05</v>
          </cell>
          <cell r="T2515">
            <v>1645556198.05</v>
          </cell>
        </row>
        <row r="2516">
          <cell r="A2516">
            <v>560070010</v>
          </cell>
          <cell r="B2516" t="str">
            <v>AUDIT FEES</v>
          </cell>
          <cell r="C2516">
            <v>313541666.61000001</v>
          </cell>
          <cell r="D2516">
            <v>0</v>
          </cell>
          <cell r="E2516">
            <v>313541666.61000001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313541666.61000001</v>
          </cell>
          <cell r="T2516">
            <v>313541666.61000001</v>
          </cell>
        </row>
        <row r="2517">
          <cell r="A2517">
            <v>560070020</v>
          </cell>
          <cell r="B2517" t="str">
            <v>OTHER PROFESSIONAL FEES</v>
          </cell>
          <cell r="C2517">
            <v>472442427.83999997</v>
          </cell>
          <cell r="D2517">
            <v>0</v>
          </cell>
          <cell r="E2517">
            <v>472442427.83999997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472442427.83999997</v>
          </cell>
          <cell r="T2517">
            <v>472442427.83999997</v>
          </cell>
        </row>
        <row r="2518">
          <cell r="A2518">
            <v>560070030</v>
          </cell>
          <cell r="B2518" t="str">
            <v>SERVICE CONTRACTS</v>
          </cell>
          <cell r="C2518">
            <v>98978786.870000005</v>
          </cell>
          <cell r="D2518">
            <v>0</v>
          </cell>
          <cell r="E2518">
            <v>98978786.870000005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98978786.870000005</v>
          </cell>
          <cell r="T2518">
            <v>98978786.870000005</v>
          </cell>
        </row>
        <row r="2519">
          <cell r="A2519" t="str">
            <v>_x0012_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</row>
        <row r="2520"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</row>
        <row r="2521">
          <cell r="C2521" t="str">
            <v>Polaris Bank Limited, N</v>
          </cell>
          <cell r="D2521" t="str">
            <v>igeria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</row>
        <row r="2522">
          <cell r="C2522" t="str">
            <v>** Consolidated Balance Shee</v>
          </cell>
          <cell r="D2522" t="str">
            <v>t CBN **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</row>
        <row r="2523"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</row>
        <row r="2524">
          <cell r="C2524" t="str">
            <v>As on :     31-OCT-2025</v>
          </cell>
          <cell r="E2524" t="str">
            <v>Page   :   45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</row>
        <row r="2525"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</row>
        <row r="2526">
          <cell r="A2526" t="str">
            <v>User Id :</v>
          </cell>
          <cell r="B2526" t="str">
            <v>SYSTEM</v>
          </cell>
          <cell r="C2526" t="str">
            <v>Date 1 Time :     01-NOV-2025</v>
          </cell>
          <cell r="D2526">
            <v>0.21625000000000003</v>
          </cell>
          <cell r="E2526" t="str">
            <v>Module :   GL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</row>
        <row r="2527">
          <cell r="A2527" t="str">
            <v>----------</v>
          </cell>
          <cell r="B2527" t="str">
            <v>----------------------------------------</v>
          </cell>
          <cell r="C2527" t="str">
            <v>------------------------------</v>
          </cell>
          <cell r="D2527" t="str">
            <v>------------------------------</v>
          </cell>
          <cell r="E2527" t="str">
            <v>----------------------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</row>
        <row r="2528">
          <cell r="A2528" t="str">
            <v>GL Code</v>
          </cell>
          <cell r="B2528" t="str">
            <v>Description</v>
          </cell>
          <cell r="C2528" t="str">
            <v>LCY Amount</v>
          </cell>
          <cell r="D2528" t="str">
            <v>FCY Amount (Lcy Eq)</v>
          </cell>
          <cell r="E2528" t="str">
            <v>Total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</row>
        <row r="2529"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</row>
        <row r="2530">
          <cell r="A2530" t="str">
            <v>----------</v>
          </cell>
          <cell r="B2530" t="str">
            <v>----------------------------------------</v>
          </cell>
          <cell r="C2530" t="str">
            <v>------------------------------</v>
          </cell>
          <cell r="D2530" t="str">
            <v>------------------------------</v>
          </cell>
          <cell r="E2530" t="str">
            <v>----------------------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</row>
        <row r="2531">
          <cell r="A2531" t="str">
            <v>Expense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</row>
        <row r="2532"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</row>
        <row r="2533">
          <cell r="A2533">
            <v>560070040</v>
          </cell>
          <cell r="B2533" t="str">
            <v>Info Tech Expenses</v>
          </cell>
          <cell r="C2533">
            <v>19254239707.110001</v>
          </cell>
          <cell r="D2533">
            <v>0</v>
          </cell>
          <cell r="E2533">
            <v>19254239707.110001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-933043667.03000009</v>
          </cell>
          <cell r="P2533">
            <v>0</v>
          </cell>
          <cell r="Q2533">
            <v>0</v>
          </cell>
          <cell r="R2533">
            <v>0</v>
          </cell>
          <cell r="S2533">
            <v>18321196040.080002</v>
          </cell>
          <cell r="T2533">
            <v>18321196040.080002</v>
          </cell>
        </row>
        <row r="2534">
          <cell r="A2534">
            <v>560070050</v>
          </cell>
          <cell r="B2534" t="str">
            <v>LEGAL FEES &amp; CHARGES</v>
          </cell>
          <cell r="C2534">
            <v>417571110.97000003</v>
          </cell>
          <cell r="D2534">
            <v>0</v>
          </cell>
          <cell r="E2534">
            <v>417571110.97000003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417571110.97000003</v>
          </cell>
          <cell r="T2534">
            <v>417571110.97000003</v>
          </cell>
        </row>
        <row r="2535">
          <cell r="A2535">
            <v>560080010</v>
          </cell>
          <cell r="B2535" t="str">
            <v>REP. &amp; MAINT.   GENERATOR OFFICE</v>
          </cell>
          <cell r="C2535">
            <v>415121247.60000002</v>
          </cell>
          <cell r="D2535">
            <v>0</v>
          </cell>
          <cell r="E2535">
            <v>415121247.60000002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415121247.60000002</v>
          </cell>
          <cell r="T2535">
            <v>415121247.60000002</v>
          </cell>
        </row>
        <row r="2536">
          <cell r="A2536">
            <v>560080020</v>
          </cell>
          <cell r="B2536" t="str">
            <v>INSURANCE   OPERATIONAL</v>
          </cell>
          <cell r="C2536">
            <v>5732528.7999999998</v>
          </cell>
          <cell r="D2536">
            <v>0</v>
          </cell>
          <cell r="E2536">
            <v>5732528.7999999998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5732528.7999999998</v>
          </cell>
          <cell r="T2536">
            <v>5732528.7999999998</v>
          </cell>
        </row>
        <row r="2537">
          <cell r="A2537">
            <v>560080030</v>
          </cell>
          <cell r="B2537" t="str">
            <v>INSURANCE   FIRE  BURGLARY  ETC.</v>
          </cell>
          <cell r="C2537">
            <v>325000</v>
          </cell>
          <cell r="D2537">
            <v>0</v>
          </cell>
          <cell r="E2537">
            <v>325000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325000</v>
          </cell>
          <cell r="T2537">
            <v>325000</v>
          </cell>
        </row>
        <row r="2538">
          <cell r="A2538">
            <v>560080040</v>
          </cell>
          <cell r="B2538" t="str">
            <v>INSURANCE   MOTOR VEHICLES</v>
          </cell>
          <cell r="C2538">
            <v>34761407.740000002</v>
          </cell>
          <cell r="D2538">
            <v>0</v>
          </cell>
          <cell r="E2538">
            <v>34761407.740000002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34761407.740000002</v>
          </cell>
          <cell r="T2538">
            <v>34761407.740000002</v>
          </cell>
        </row>
        <row r="2539">
          <cell r="A2539">
            <v>560080050</v>
          </cell>
          <cell r="B2539" t="str">
            <v>INSURANCE - COMPUTER</v>
          </cell>
          <cell r="C2539">
            <v>45649327.759999998</v>
          </cell>
          <cell r="D2539">
            <v>0</v>
          </cell>
          <cell r="E2539">
            <v>45649327.759999998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45649327.759999998</v>
          </cell>
          <cell r="T2539">
            <v>45649327.759999998</v>
          </cell>
        </row>
        <row r="2540">
          <cell r="A2540">
            <v>560080060</v>
          </cell>
          <cell r="B2540" t="str">
            <v>INSURANCE - WORKMEN COMPENSATION</v>
          </cell>
          <cell r="C2540">
            <v>292370743.74000001</v>
          </cell>
          <cell r="D2540">
            <v>0</v>
          </cell>
          <cell r="E2540">
            <v>292370743.74000001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292370743.74000001</v>
          </cell>
          <cell r="T2540">
            <v>292370743.74000001</v>
          </cell>
        </row>
        <row r="2541">
          <cell r="A2541">
            <v>560080070</v>
          </cell>
          <cell r="B2541" t="str">
            <v>INSURANCE - THEFT &amp; BURGLARY</v>
          </cell>
          <cell r="C2541">
            <v>58814968.710000001</v>
          </cell>
          <cell r="D2541">
            <v>0</v>
          </cell>
          <cell r="E2541">
            <v>58814968.710000001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58814968.710000001</v>
          </cell>
          <cell r="T2541">
            <v>58814968.710000001</v>
          </cell>
        </row>
        <row r="2542">
          <cell r="A2542">
            <v>560080080</v>
          </cell>
          <cell r="B2542" t="str">
            <v>DEPOSIT INSURANCE PREMIUM</v>
          </cell>
          <cell r="C2542">
            <v>8269742405.4799995</v>
          </cell>
          <cell r="D2542">
            <v>0</v>
          </cell>
          <cell r="E2542">
            <v>8269742405.4799995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8269742405.4799995</v>
          </cell>
          <cell r="T2542">
            <v>8269742405.4799995</v>
          </cell>
        </row>
        <row r="2543">
          <cell r="A2543">
            <v>560090010</v>
          </cell>
          <cell r="B2543" t="str">
            <v>GOVERNMENTAL RATES</v>
          </cell>
          <cell r="C2543">
            <v>652109723.29999995</v>
          </cell>
          <cell r="D2543">
            <v>0</v>
          </cell>
          <cell r="E2543">
            <v>652109723.29999995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652109723.29999995</v>
          </cell>
          <cell r="T2543">
            <v>652109723.29999995</v>
          </cell>
        </row>
        <row r="2544">
          <cell r="A2544">
            <v>560090020</v>
          </cell>
          <cell r="B2544" t="str">
            <v>RENTS   OFFICE PREMISES</v>
          </cell>
          <cell r="C2544">
            <v>16947331.629999999</v>
          </cell>
          <cell r="D2544">
            <v>0</v>
          </cell>
          <cell r="E2544">
            <v>16947331.629999999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16947331.629999999</v>
          </cell>
          <cell r="T2544">
            <v>16947331.629999999</v>
          </cell>
        </row>
        <row r="2545">
          <cell r="A2545">
            <v>560090030</v>
          </cell>
          <cell r="B2545" t="str">
            <v>PARKING LOT RATES</v>
          </cell>
          <cell r="C2545">
            <v>8936920</v>
          </cell>
          <cell r="D2545">
            <v>0</v>
          </cell>
          <cell r="E2545">
            <v>8936920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8936920</v>
          </cell>
          <cell r="T2545">
            <v>8936920</v>
          </cell>
        </row>
        <row r="2546">
          <cell r="A2546">
            <v>560090040</v>
          </cell>
          <cell r="B2546" t="str">
            <v>RENTS   RESIDENTIAL PREMISES</v>
          </cell>
          <cell r="C2546">
            <v>0</v>
          </cell>
          <cell r="D2546">
            <v>0</v>
          </cell>
          <cell r="E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</row>
        <row r="2547">
          <cell r="A2547">
            <v>560090050</v>
          </cell>
          <cell r="B2547" t="str">
            <v>RATES   EQUIPMENT RENTALS</v>
          </cell>
          <cell r="C2547">
            <v>0</v>
          </cell>
          <cell r="D2547">
            <v>0</v>
          </cell>
          <cell r="E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</row>
        <row r="2548">
          <cell r="A2548">
            <v>560100010</v>
          </cell>
          <cell r="B2548" t="str">
            <v>REP. &amp; MAINT.   COMPUTER EQUIPME</v>
          </cell>
          <cell r="C2548">
            <v>69654931.75</v>
          </cell>
          <cell r="D2548">
            <v>0</v>
          </cell>
          <cell r="E2548">
            <v>69654931.75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69654931.75</v>
          </cell>
          <cell r="T2548">
            <v>69654931.75</v>
          </cell>
        </row>
        <row r="2549">
          <cell r="A2549">
            <v>560100020</v>
          </cell>
          <cell r="B2549" t="str">
            <v>REP. &amp; MAINT. - MICR</v>
          </cell>
          <cell r="C2549">
            <v>0</v>
          </cell>
          <cell r="D2549">
            <v>0</v>
          </cell>
          <cell r="E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</row>
        <row r="2550">
          <cell r="A2550">
            <v>560100030</v>
          </cell>
          <cell r="B2550" t="str">
            <v>REP. &amp; MAINT.   OFF. EQUIP. &amp; FI</v>
          </cell>
          <cell r="C2550">
            <v>1074329238.25</v>
          </cell>
          <cell r="D2550">
            <v>0</v>
          </cell>
          <cell r="E2550">
            <v>1074329238.25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1074329238.25</v>
          </cell>
          <cell r="T2550">
            <v>1074329238.25</v>
          </cell>
        </row>
        <row r="2551">
          <cell r="A2551">
            <v>560100040</v>
          </cell>
          <cell r="B2551" t="str">
            <v>REP. &amp; MAINT.   OFFICE PREMISES</v>
          </cell>
          <cell r="C2551">
            <v>354669306.94</v>
          </cell>
          <cell r="D2551">
            <v>0</v>
          </cell>
          <cell r="E2551">
            <v>354669306.94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354669306.94</v>
          </cell>
          <cell r="T2551">
            <v>354669306.94</v>
          </cell>
        </row>
        <row r="2552">
          <cell r="A2552">
            <v>560100050</v>
          </cell>
          <cell r="B2552" t="str">
            <v>REPAIR &amp; MAINTENANCE OTHERS</v>
          </cell>
          <cell r="C2552">
            <v>337031959.01999998</v>
          </cell>
          <cell r="D2552">
            <v>0</v>
          </cell>
          <cell r="E2552">
            <v>337031959.01999998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337031959.01999998</v>
          </cell>
          <cell r="T2552">
            <v>337031959.01999998</v>
          </cell>
        </row>
        <row r="2553">
          <cell r="A2553">
            <v>560100060</v>
          </cell>
          <cell r="B2553" t="str">
            <v>REP. &amp; MAINT   RESIDENTIAL PREMI</v>
          </cell>
          <cell r="C2553">
            <v>182500</v>
          </cell>
          <cell r="D2553">
            <v>0</v>
          </cell>
          <cell r="E2553">
            <v>182500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182500</v>
          </cell>
          <cell r="T2553">
            <v>182500</v>
          </cell>
        </row>
        <row r="2554">
          <cell r="A2554">
            <v>560100070</v>
          </cell>
          <cell r="B2554" t="str">
            <v>REP &amp;  MAINT.GENERATOR RESIDENCE</v>
          </cell>
          <cell r="C2554">
            <v>13446752.6</v>
          </cell>
          <cell r="D2554">
            <v>0</v>
          </cell>
          <cell r="E2554">
            <v>13446752.6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13446752.6</v>
          </cell>
          <cell r="T2554">
            <v>13446752.6</v>
          </cell>
        </row>
        <row r="2555">
          <cell r="A2555">
            <v>560100080</v>
          </cell>
          <cell r="B2555" t="str">
            <v>REP &amp; MAINT. VEHICLE OFFICE</v>
          </cell>
          <cell r="C2555">
            <v>233810937.25</v>
          </cell>
          <cell r="D2555">
            <v>0</v>
          </cell>
          <cell r="E2555">
            <v>233810937.25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233810937.25</v>
          </cell>
          <cell r="T2555">
            <v>233810937.25</v>
          </cell>
        </row>
        <row r="2556">
          <cell r="A2556">
            <v>560100090</v>
          </cell>
          <cell r="B2556" t="str">
            <v>VEH. MAINT.   LICENSE &amp; OTHERS</v>
          </cell>
          <cell r="C2556">
            <v>32981520</v>
          </cell>
          <cell r="D2556">
            <v>0</v>
          </cell>
          <cell r="E2556">
            <v>32981520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32981520</v>
          </cell>
          <cell r="T2556">
            <v>32981520</v>
          </cell>
        </row>
        <row r="2557">
          <cell r="A2557">
            <v>560100100</v>
          </cell>
          <cell r="B2557" t="str">
            <v>VEHICLE MAINTENANCE</v>
          </cell>
          <cell r="C2557">
            <v>13467289.5</v>
          </cell>
          <cell r="D2557">
            <v>0</v>
          </cell>
          <cell r="E2557">
            <v>13467289.5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13467289.5</v>
          </cell>
          <cell r="T2557">
            <v>13467289.5</v>
          </cell>
        </row>
        <row r="2558">
          <cell r="A2558">
            <v>560100110</v>
          </cell>
          <cell r="B2558" t="str">
            <v>REPAIRS &amp; MAINT. - M/CYCLE</v>
          </cell>
          <cell r="C2558">
            <v>9275187.5099999998</v>
          </cell>
          <cell r="D2558">
            <v>0</v>
          </cell>
          <cell r="E2558">
            <v>9275187.5099999998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9275187.5099999998</v>
          </cell>
          <cell r="T2558">
            <v>9275187.5099999998</v>
          </cell>
        </row>
        <row r="2559">
          <cell r="A2559">
            <v>560100120</v>
          </cell>
          <cell r="B2559" t="str">
            <v>REP &amp; MAINT. VEHICLE STATUS</v>
          </cell>
          <cell r="C2559">
            <v>3951325</v>
          </cell>
          <cell r="D2559">
            <v>0</v>
          </cell>
          <cell r="E2559">
            <v>3951325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3951325</v>
          </cell>
          <cell r="T2559">
            <v>3951325</v>
          </cell>
        </row>
        <row r="2560">
          <cell r="A2560">
            <v>560100130</v>
          </cell>
          <cell r="B2560" t="str">
            <v>OFFICE RENOVATION EXPENSES</v>
          </cell>
          <cell r="C2560">
            <v>0</v>
          </cell>
          <cell r="D2560">
            <v>0</v>
          </cell>
          <cell r="E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</row>
        <row r="2561">
          <cell r="A2561">
            <v>560100140</v>
          </cell>
          <cell r="B2561" t="str">
            <v>REP. &amp; MAINT. û ATM</v>
          </cell>
          <cell r="C2561">
            <v>201584145.83000001</v>
          </cell>
          <cell r="D2561">
            <v>0</v>
          </cell>
          <cell r="E2561">
            <v>201584145.83000001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201584145.83000001</v>
          </cell>
          <cell r="T2561">
            <v>201584145.83000001</v>
          </cell>
        </row>
        <row r="2562">
          <cell r="A2562">
            <v>560110010</v>
          </cell>
          <cell r="B2562" t="str">
            <v>BOARD EXP.   DIRECTORS FEES</v>
          </cell>
          <cell r="C2562">
            <v>214934065.87</v>
          </cell>
          <cell r="D2562">
            <v>0</v>
          </cell>
          <cell r="E2562">
            <v>214934065.87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214934065.87</v>
          </cell>
          <cell r="T2562">
            <v>214934065.87</v>
          </cell>
        </row>
        <row r="2563">
          <cell r="A2563">
            <v>560110020</v>
          </cell>
          <cell r="B2563" t="str">
            <v>DIRECTOR EXPENSES</v>
          </cell>
          <cell r="C2563">
            <v>0</v>
          </cell>
          <cell r="D2563">
            <v>0</v>
          </cell>
          <cell r="E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</row>
        <row r="2564">
          <cell r="A2564">
            <v>560110030</v>
          </cell>
          <cell r="B2564" t="str">
            <v>OTHER BOARD EXPS</v>
          </cell>
          <cell r="C2564">
            <v>415447374.97000003</v>
          </cell>
          <cell r="D2564">
            <v>0</v>
          </cell>
          <cell r="E2564">
            <v>415447374.97000003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415447374.97000003</v>
          </cell>
          <cell r="T2564">
            <v>415447374.97000003</v>
          </cell>
        </row>
        <row r="2565">
          <cell r="A2565">
            <v>560120010</v>
          </cell>
          <cell r="B2565" t="str">
            <v>OTHER OUTSOURCED SERVICES</v>
          </cell>
          <cell r="C2565">
            <v>66500</v>
          </cell>
          <cell r="D2565">
            <v>0</v>
          </cell>
          <cell r="E2565">
            <v>66500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66500</v>
          </cell>
          <cell r="T2565">
            <v>66500</v>
          </cell>
        </row>
        <row r="2566">
          <cell r="A2566">
            <v>560120020</v>
          </cell>
          <cell r="B2566" t="str">
            <v>HOTEL &amp; RESTAURANT</v>
          </cell>
          <cell r="C2566">
            <v>334422421.56999999</v>
          </cell>
          <cell r="D2566">
            <v>0</v>
          </cell>
          <cell r="E2566">
            <v>334422421.56999999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334422421.56999999</v>
          </cell>
          <cell r="T2566">
            <v>334422421.56999999</v>
          </cell>
        </row>
        <row r="2567">
          <cell r="A2567">
            <v>560120030</v>
          </cell>
          <cell r="B2567" t="str">
            <v>TRADE GROUP MEMBERSHIP SUBSCRIPT</v>
          </cell>
          <cell r="C2567">
            <v>503369148.37</v>
          </cell>
          <cell r="D2567">
            <v>0</v>
          </cell>
          <cell r="E2567">
            <v>503369148.37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503369148.37</v>
          </cell>
          <cell r="T2567">
            <v>503369148.37</v>
          </cell>
        </row>
        <row r="2568">
          <cell r="A2568">
            <v>560120040</v>
          </cell>
          <cell r="B2568" t="str">
            <v>OFFICE EXPS</v>
          </cell>
          <cell r="C2568">
            <v>327276353.81999999</v>
          </cell>
          <cell r="D2568">
            <v>0</v>
          </cell>
          <cell r="E2568">
            <v>327276353.81999999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327276353.81999999</v>
          </cell>
          <cell r="T2568">
            <v>327276353.81999999</v>
          </cell>
        </row>
        <row r="2569">
          <cell r="A2569">
            <v>560120050</v>
          </cell>
          <cell r="B2569" t="str">
            <v>SMALL OFFICE ITEMS</v>
          </cell>
          <cell r="C2569">
            <v>12017186</v>
          </cell>
          <cell r="D2569">
            <v>0</v>
          </cell>
          <cell r="E2569">
            <v>12017186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12017186</v>
          </cell>
          <cell r="T2569">
            <v>12017186</v>
          </cell>
        </row>
        <row r="2570">
          <cell r="A2570">
            <v>560120060</v>
          </cell>
          <cell r="B2570" t="str">
            <v>CARD EXPENSES GL</v>
          </cell>
          <cell r="C2570">
            <v>815846132.20000005</v>
          </cell>
          <cell r="D2570">
            <v>0</v>
          </cell>
          <cell r="E2570">
            <v>815846132.20000005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815846132.20000005</v>
          </cell>
          <cell r="T2570">
            <v>815846132.20000005</v>
          </cell>
        </row>
        <row r="2571">
          <cell r="A2571">
            <v>560120070</v>
          </cell>
          <cell r="B2571" t="str">
            <v>ATM EXPENSES</v>
          </cell>
          <cell r="C2571">
            <v>630859262.65999997</v>
          </cell>
          <cell r="D2571">
            <v>0</v>
          </cell>
          <cell r="E2571">
            <v>630859262.65999997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630859262.65999997</v>
          </cell>
          <cell r="T2571">
            <v>630859262.65999997</v>
          </cell>
        </row>
        <row r="2572">
          <cell r="A2572">
            <v>560120080</v>
          </cell>
          <cell r="B2572" t="str">
            <v>POLARISCARD CREDIT CARD EXPENSES</v>
          </cell>
          <cell r="C2572">
            <v>0</v>
          </cell>
          <cell r="D2572">
            <v>0</v>
          </cell>
          <cell r="E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</row>
        <row r="2573">
          <cell r="A2573">
            <v>560120090</v>
          </cell>
          <cell r="B2573" t="str">
            <v>BUSINESS SOLUTION EXPENSES</v>
          </cell>
          <cell r="C2573">
            <v>10949041.58</v>
          </cell>
          <cell r="D2573">
            <v>0</v>
          </cell>
          <cell r="E2573">
            <v>10949041.58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10949041.58</v>
          </cell>
          <cell r="T2573">
            <v>10949041.58</v>
          </cell>
        </row>
        <row r="2574">
          <cell r="A2574">
            <v>560120100</v>
          </cell>
          <cell r="B2574" t="str">
            <v>POS EXPENSES GL</v>
          </cell>
          <cell r="C2574">
            <v>686740340.70000005</v>
          </cell>
          <cell r="D2574">
            <v>0</v>
          </cell>
          <cell r="E2574">
            <v>686740340.70000005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686740340.70000005</v>
          </cell>
          <cell r="T2574">
            <v>686740340.70000005</v>
          </cell>
        </row>
        <row r="2575">
          <cell r="A2575">
            <v>560120110</v>
          </cell>
          <cell r="B2575" t="str">
            <v>VISA EXPENSE (NGN)</v>
          </cell>
          <cell r="C2575">
            <v>2669063111.04</v>
          </cell>
          <cell r="D2575">
            <v>0</v>
          </cell>
          <cell r="E2575">
            <v>2669063111.04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2669063111.04</v>
          </cell>
          <cell r="T2575">
            <v>2669063111.04</v>
          </cell>
        </row>
        <row r="2576">
          <cell r="A2576">
            <v>560120120</v>
          </cell>
          <cell r="B2576" t="str">
            <v>VISA EXPENSE (USD)</v>
          </cell>
          <cell r="C2576">
            <v>1397373308.5</v>
          </cell>
          <cell r="D2576">
            <v>0</v>
          </cell>
          <cell r="E2576">
            <v>1397373308.5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144317619.546</v>
          </cell>
          <cell r="P2576">
            <v>0</v>
          </cell>
          <cell r="Q2576">
            <v>0</v>
          </cell>
          <cell r="R2576">
            <v>0</v>
          </cell>
          <cell r="S2576">
            <v>1541690928.046</v>
          </cell>
          <cell r="T2576">
            <v>1541690928.046</v>
          </cell>
        </row>
        <row r="2577">
          <cell r="A2577" t="str">
            <v>_x0012_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</row>
        <row r="2578"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</row>
        <row r="2579">
          <cell r="C2579" t="str">
            <v>Polaris Bank Limited, N</v>
          </cell>
          <cell r="D2579" t="str">
            <v>igeria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</row>
        <row r="2580">
          <cell r="C2580" t="str">
            <v>** Consolidated Balance Shee</v>
          </cell>
          <cell r="D2580" t="str">
            <v>t CBN **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</row>
        <row r="2581"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</row>
        <row r="2582">
          <cell r="C2582" t="str">
            <v>As on :     31-OCT-2025</v>
          </cell>
          <cell r="E2582" t="str">
            <v>Page   :   46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</row>
        <row r="2583"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</row>
        <row r="2584">
          <cell r="A2584" t="str">
            <v>User Id :</v>
          </cell>
          <cell r="B2584" t="str">
            <v>SYSTEM</v>
          </cell>
          <cell r="C2584" t="str">
            <v>Date 1 Time :     01-NOV-2025</v>
          </cell>
          <cell r="D2584">
            <v>0.21625000000000003</v>
          </cell>
          <cell r="E2584" t="str">
            <v>Module :   GL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</row>
        <row r="2585">
          <cell r="A2585" t="str">
            <v>----------</v>
          </cell>
          <cell r="B2585" t="str">
            <v>----------------------------------------</v>
          </cell>
          <cell r="C2585" t="str">
            <v>------------------------------</v>
          </cell>
          <cell r="D2585" t="str">
            <v>------------------------------</v>
          </cell>
          <cell r="E2585" t="str">
            <v>----------------------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</row>
        <row r="2586">
          <cell r="A2586" t="str">
            <v>GL Code</v>
          </cell>
          <cell r="B2586" t="str">
            <v>Description</v>
          </cell>
          <cell r="C2586" t="str">
            <v>LCY Amount</v>
          </cell>
          <cell r="D2586" t="str">
            <v>FCY Amount (Lcy Eq)</v>
          </cell>
          <cell r="E2586" t="str">
            <v>Total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</row>
        <row r="2587"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</row>
        <row r="2588">
          <cell r="A2588" t="str">
            <v>----------</v>
          </cell>
          <cell r="B2588" t="str">
            <v>----------------------------------------</v>
          </cell>
          <cell r="C2588" t="str">
            <v>------------------------------</v>
          </cell>
          <cell r="D2588" t="str">
            <v>------------------------------</v>
          </cell>
          <cell r="E2588" t="str">
            <v>----------------------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</row>
        <row r="2589">
          <cell r="A2589" t="str">
            <v>Expense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</row>
        <row r="2590"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</row>
        <row r="2591">
          <cell r="A2591">
            <v>560120130</v>
          </cell>
          <cell r="B2591" t="str">
            <v>MASTERCARD  EXPENSE (NGN)</v>
          </cell>
          <cell r="C2591">
            <v>383920502.54000002</v>
          </cell>
          <cell r="D2591">
            <v>0</v>
          </cell>
          <cell r="E2591">
            <v>383920502.54000002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383920502.54000002</v>
          </cell>
          <cell r="T2591">
            <v>383920502.54000002</v>
          </cell>
        </row>
        <row r="2592">
          <cell r="A2592">
            <v>560120140</v>
          </cell>
          <cell r="B2592" t="str">
            <v>OFFICE PROVISIONS</v>
          </cell>
          <cell r="C2592">
            <v>3141139.5</v>
          </cell>
          <cell r="D2592">
            <v>0</v>
          </cell>
          <cell r="E2592">
            <v>3141139.5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3141139.5</v>
          </cell>
          <cell r="T2592">
            <v>3141139.5</v>
          </cell>
        </row>
        <row r="2593">
          <cell r="A2593">
            <v>560120150</v>
          </cell>
          <cell r="B2593" t="str">
            <v>FCY MONEY TRANSFER EXPS-WUMT</v>
          </cell>
          <cell r="C2593">
            <v>0</v>
          </cell>
          <cell r="D2593">
            <v>0</v>
          </cell>
          <cell r="E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</row>
        <row r="2594">
          <cell r="A2594">
            <v>560120160</v>
          </cell>
          <cell r="B2594" t="str">
            <v>GENERAL ADMINISTRATION EXPS</v>
          </cell>
          <cell r="C2594">
            <v>0</v>
          </cell>
          <cell r="D2594">
            <v>0</v>
          </cell>
          <cell r="E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</row>
        <row r="2595">
          <cell r="A2595">
            <v>560120170</v>
          </cell>
          <cell r="B2595" t="str">
            <v>SECURITY &amp; GUARDS EXPENSES</v>
          </cell>
          <cell r="C2595">
            <v>1483548251.3399999</v>
          </cell>
          <cell r="D2595">
            <v>0</v>
          </cell>
          <cell r="E2595">
            <v>1483548251.3399999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1483548251.3399999</v>
          </cell>
          <cell r="T2595">
            <v>1483548251.3399999</v>
          </cell>
        </row>
        <row r="2596">
          <cell r="A2596">
            <v>560120180</v>
          </cell>
          <cell r="B2596" t="str">
            <v>CASH SHIPMENT SERVICES</v>
          </cell>
          <cell r="C2596">
            <v>1158526036.4100001</v>
          </cell>
          <cell r="D2596">
            <v>0</v>
          </cell>
          <cell r="E2596">
            <v>1158526036.4100001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1158526036.4100001</v>
          </cell>
          <cell r="T2596">
            <v>1158526036.4100001</v>
          </cell>
        </row>
        <row r="2597">
          <cell r="A2597">
            <v>560120190</v>
          </cell>
          <cell r="B2597" t="str">
            <v>UNCAPITALISED FIXED ASSETS</v>
          </cell>
          <cell r="C2597">
            <v>1331925</v>
          </cell>
          <cell r="D2597">
            <v>0</v>
          </cell>
          <cell r="E2597">
            <v>1331925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1331925</v>
          </cell>
          <cell r="T2597">
            <v>1331925</v>
          </cell>
        </row>
        <row r="2598">
          <cell r="A2598">
            <v>560120200</v>
          </cell>
          <cell r="B2598" t="str">
            <v>AMCON SINKING FUND EXPENSES</v>
          </cell>
          <cell r="C2598">
            <v>10783414300.780001</v>
          </cell>
          <cell r="D2598">
            <v>0</v>
          </cell>
          <cell r="E2598">
            <v>10783414300.780001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10783414300.780001</v>
          </cell>
          <cell r="T2598">
            <v>10783414300.780001</v>
          </cell>
        </row>
        <row r="2599">
          <cell r="A2599">
            <v>560120210</v>
          </cell>
          <cell r="B2599" t="str">
            <v>OTHER PROVIDED EXPENSES</v>
          </cell>
          <cell r="C2599">
            <v>3688358793</v>
          </cell>
          <cell r="D2599">
            <v>0</v>
          </cell>
          <cell r="E2599">
            <v>3688358793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3688358793</v>
          </cell>
          <cell r="T2599">
            <v>3688358793</v>
          </cell>
        </row>
        <row r="2600">
          <cell r="A2600">
            <v>560120215</v>
          </cell>
          <cell r="B2600" t="str">
            <v>CBN LEVY- RESOLUTION FUND</v>
          </cell>
          <cell r="C2600">
            <v>1902104795.51</v>
          </cell>
          <cell r="D2600">
            <v>0</v>
          </cell>
          <cell r="E2600">
            <v>1902104795.51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1902104795.51</v>
          </cell>
          <cell r="T2600">
            <v>1902104795.51</v>
          </cell>
        </row>
        <row r="2601">
          <cell r="A2601">
            <v>560120220</v>
          </cell>
          <cell r="B2601" t="str">
            <v>CASH SHORTAGES</v>
          </cell>
          <cell r="C2601">
            <v>0</v>
          </cell>
          <cell r="D2601">
            <v>0</v>
          </cell>
          <cell r="E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</row>
        <row r="2602">
          <cell r="A2602">
            <v>560120230</v>
          </cell>
          <cell r="B2602" t="str">
            <v>UNIFORMS</v>
          </cell>
          <cell r="C2602">
            <v>483750</v>
          </cell>
          <cell r="D2602">
            <v>0</v>
          </cell>
          <cell r="E2602">
            <v>483750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483750</v>
          </cell>
          <cell r="T2602">
            <v>483750</v>
          </cell>
        </row>
        <row r="2603">
          <cell r="A2603">
            <v>560120240</v>
          </cell>
          <cell r="B2603" t="str">
            <v>VEHICLE FUELING OFFICE</v>
          </cell>
          <cell r="C2603">
            <v>511814899.13</v>
          </cell>
          <cell r="D2603">
            <v>0</v>
          </cell>
          <cell r="E2603">
            <v>511814899.13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511814899.13</v>
          </cell>
          <cell r="T2603">
            <v>511814899.13</v>
          </cell>
        </row>
        <row r="2604">
          <cell r="A2604">
            <v>560120250</v>
          </cell>
          <cell r="B2604" t="str">
            <v>VEHICLE FUELING STATUS</v>
          </cell>
          <cell r="C2604">
            <v>5771911</v>
          </cell>
          <cell r="D2604">
            <v>0</v>
          </cell>
          <cell r="E2604">
            <v>5771911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5771911</v>
          </cell>
          <cell r="T2604">
            <v>5771911</v>
          </cell>
        </row>
        <row r="2605">
          <cell r="A2605">
            <v>560120260</v>
          </cell>
          <cell r="B2605" t="str">
            <v>FRAUDS &amp; DEFALCATIONS</v>
          </cell>
          <cell r="C2605">
            <v>182869525.25</v>
          </cell>
          <cell r="D2605">
            <v>0</v>
          </cell>
          <cell r="E2605">
            <v>182869525.25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182869525.25</v>
          </cell>
          <cell r="T2605">
            <v>182869525.25</v>
          </cell>
        </row>
        <row r="2606">
          <cell r="A2606">
            <v>560120270</v>
          </cell>
          <cell r="B2606" t="str">
            <v>OTHER LOSSES</v>
          </cell>
          <cell r="C2606">
            <v>15332629.970000001</v>
          </cell>
          <cell r="D2606">
            <v>0</v>
          </cell>
          <cell r="E2606">
            <v>15332629.970000001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15332629.970000001</v>
          </cell>
          <cell r="T2606">
            <v>15332629.970000001</v>
          </cell>
        </row>
        <row r="2607">
          <cell r="A2607">
            <v>560120280</v>
          </cell>
          <cell r="B2607" t="str">
            <v>FX REVALUATION LOSS   ACTUAL</v>
          </cell>
          <cell r="C2607">
            <v>319194148089.45001</v>
          </cell>
          <cell r="D2607">
            <v>0</v>
          </cell>
          <cell r="E2607">
            <v>319194148089.45001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319194148089.45001</v>
          </cell>
          <cell r="T2607">
            <v>319194148089.45001</v>
          </cell>
        </row>
        <row r="2608">
          <cell r="A2608">
            <v>560120290</v>
          </cell>
          <cell r="B2608" t="str">
            <v>GRATUITIES</v>
          </cell>
          <cell r="C2608">
            <v>0</v>
          </cell>
          <cell r="D2608">
            <v>0</v>
          </cell>
          <cell r="E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</row>
        <row r="2609">
          <cell r="A2609">
            <v>560120300</v>
          </cell>
          <cell r="B2609" t="str">
            <v>BAD DEBTS WRITTEN   OFF</v>
          </cell>
          <cell r="C2609">
            <v>0</v>
          </cell>
          <cell r="D2609">
            <v>0</v>
          </cell>
          <cell r="E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</row>
        <row r="2610">
          <cell r="A2610">
            <v>560120310</v>
          </cell>
          <cell r="B2610" t="str">
            <v>WHT-EXPENSE NRC</v>
          </cell>
          <cell r="C2610">
            <v>399081671.45999998</v>
          </cell>
          <cell r="D2610">
            <v>0</v>
          </cell>
          <cell r="E2610">
            <v>399081671.45999998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399081671.45999998</v>
          </cell>
          <cell r="T2610">
            <v>399081671.45999998</v>
          </cell>
        </row>
        <row r="2611">
          <cell r="A2611">
            <v>560120320</v>
          </cell>
          <cell r="B2611" t="str">
            <v>CBN PENALTIES</v>
          </cell>
          <cell r="C2611">
            <v>8000000</v>
          </cell>
          <cell r="D2611">
            <v>0</v>
          </cell>
          <cell r="E2611">
            <v>8000000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8000000</v>
          </cell>
          <cell r="T2611">
            <v>8000000</v>
          </cell>
        </row>
        <row r="2612">
          <cell r="A2612">
            <v>560120330</v>
          </cell>
          <cell r="B2612" t="str">
            <v>I-TOKEN EXPENSE</v>
          </cell>
          <cell r="C2612">
            <v>26520364.5</v>
          </cell>
          <cell r="D2612">
            <v>0</v>
          </cell>
          <cell r="E2612">
            <v>26520364.5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26520364.5</v>
          </cell>
          <cell r="T2612">
            <v>26520364.5</v>
          </cell>
        </row>
        <row r="2613">
          <cell r="A2613">
            <v>560120340</v>
          </cell>
          <cell r="B2613" t="str">
            <v>RIA MONEY TRANSFER EXPENSE</v>
          </cell>
          <cell r="C2613">
            <v>0</v>
          </cell>
          <cell r="D2613">
            <v>0</v>
          </cell>
          <cell r="E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</row>
        <row r="2614">
          <cell r="A2614">
            <v>560120350</v>
          </cell>
          <cell r="B2614" t="str">
            <v>LOYALTY SALES EXPENSES</v>
          </cell>
          <cell r="C2614">
            <v>0</v>
          </cell>
          <cell r="D2614">
            <v>0</v>
          </cell>
          <cell r="E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</row>
        <row r="2615">
          <cell r="A2615">
            <v>560120360</v>
          </cell>
          <cell r="B2615" t="str">
            <v>CUSTOMER ACQUISITON EXPENSE</v>
          </cell>
          <cell r="C2615">
            <v>10007880</v>
          </cell>
          <cell r="D2615">
            <v>0</v>
          </cell>
          <cell r="E2615">
            <v>10007880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10007880</v>
          </cell>
          <cell r="T2615">
            <v>10007880</v>
          </cell>
        </row>
        <row r="2616">
          <cell r="A2616">
            <v>560120370</v>
          </cell>
          <cell r="B2616" t="str">
            <v>SECURITY VALUATION EXPENSES</v>
          </cell>
          <cell r="C2616">
            <v>0</v>
          </cell>
          <cell r="D2616">
            <v>0</v>
          </cell>
          <cell r="E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</row>
        <row r="2617">
          <cell r="A2617">
            <v>560120380</v>
          </cell>
          <cell r="B2617" t="str">
            <v>RECAPITALIZATION EXPENSES</v>
          </cell>
          <cell r="C2617">
            <v>0</v>
          </cell>
          <cell r="D2617">
            <v>0</v>
          </cell>
          <cell r="E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</row>
        <row r="2618">
          <cell r="A2618">
            <v>560120390</v>
          </cell>
          <cell r="B2618" t="str">
            <v>FLEET OUTSOURCING EXPENSE</v>
          </cell>
          <cell r="C2618">
            <v>192382938.97999999</v>
          </cell>
          <cell r="D2618">
            <v>0</v>
          </cell>
          <cell r="E2618">
            <v>192382938.97999999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192382938.97999999</v>
          </cell>
          <cell r="T2618">
            <v>192382938.97999999</v>
          </cell>
        </row>
        <row r="2619">
          <cell r="A2619">
            <v>560120400</v>
          </cell>
          <cell r="B2619" t="str">
            <v>LOSS ON SALE OF ASSETS</v>
          </cell>
          <cell r="C2619">
            <v>0</v>
          </cell>
          <cell r="D2619">
            <v>0</v>
          </cell>
          <cell r="E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</row>
        <row r="2620">
          <cell r="A2620">
            <v>560120410</v>
          </cell>
          <cell r="B2620" t="str">
            <v>DSA COMMISSION</v>
          </cell>
          <cell r="C2620">
            <v>0</v>
          </cell>
          <cell r="D2620">
            <v>0</v>
          </cell>
          <cell r="E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</row>
        <row r="2621">
          <cell r="A2621">
            <v>560120420</v>
          </cell>
          <cell r="B2621" t="str">
            <v>TERMINAL BENEFIT A/C</v>
          </cell>
          <cell r="C2621">
            <v>117552603</v>
          </cell>
          <cell r="D2621">
            <v>0</v>
          </cell>
          <cell r="E2621">
            <v>117552603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117552603</v>
          </cell>
          <cell r="T2621">
            <v>117552603</v>
          </cell>
        </row>
        <row r="2622">
          <cell r="A2622">
            <v>560120430</v>
          </cell>
          <cell r="B2622" t="str">
            <v>FGN BONDS PREMIUM EXPá (AMORTISE</v>
          </cell>
          <cell r="C2622">
            <v>1857247784.51</v>
          </cell>
          <cell r="D2622">
            <v>0</v>
          </cell>
          <cell r="E2622">
            <v>1857247784.51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1857247784.51</v>
          </cell>
          <cell r="T2622">
            <v>-1857247784.51</v>
          </cell>
        </row>
        <row r="2623">
          <cell r="A2623">
            <v>560120440</v>
          </cell>
          <cell r="B2623" t="str">
            <v>FGN BONDS PREMIUM EXPá (FVTPL)</v>
          </cell>
          <cell r="C2623">
            <v>-2489143.7400000002</v>
          </cell>
          <cell r="D2623">
            <v>0</v>
          </cell>
          <cell r="E2623">
            <v>-2489143.7400000002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-2489143.7400000002</v>
          </cell>
          <cell r="T2623">
            <v>-2489143.7400000002</v>
          </cell>
        </row>
        <row r="2624">
          <cell r="A2624">
            <v>560120450</v>
          </cell>
          <cell r="B2624" t="str">
            <v>FGN BONDS PREMIUM EXPáá (FVTOCI)</v>
          </cell>
          <cell r="C2624">
            <v>0</v>
          </cell>
          <cell r="D2624">
            <v>0</v>
          </cell>
          <cell r="E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</row>
        <row r="2625">
          <cell r="A2625">
            <v>560120460</v>
          </cell>
          <cell r="B2625" t="str">
            <v>CORP BONDS PREMIUM EXPá (AMORTIS</v>
          </cell>
          <cell r="C2625">
            <v>758302.61</v>
          </cell>
          <cell r="D2625">
            <v>0</v>
          </cell>
          <cell r="E2625">
            <v>758302.61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758302.61</v>
          </cell>
          <cell r="T2625">
            <v>-758302.61</v>
          </cell>
        </row>
        <row r="2626">
          <cell r="A2626">
            <v>560120480</v>
          </cell>
          <cell r="B2626" t="str">
            <v>CORP BONDS PREMIUM EXPáá (FVTOCI</v>
          </cell>
          <cell r="C2626">
            <v>0</v>
          </cell>
          <cell r="D2626">
            <v>0</v>
          </cell>
          <cell r="E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</row>
        <row r="2627">
          <cell r="A2627">
            <v>560120490</v>
          </cell>
          <cell r="B2627" t="str">
            <v>EURO BONDS PREMIUM EXPá (AMORTIS</v>
          </cell>
          <cell r="C2627">
            <v>140455.60999999999</v>
          </cell>
          <cell r="D2627">
            <v>0</v>
          </cell>
          <cell r="E2627">
            <v>140455.60999999999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200177335.37199998</v>
          </cell>
          <cell r="P2627">
            <v>0</v>
          </cell>
          <cell r="Q2627">
            <v>0</v>
          </cell>
          <cell r="R2627">
            <v>0</v>
          </cell>
          <cell r="S2627">
            <v>200317790.98199999</v>
          </cell>
          <cell r="T2627">
            <v>-200317790.98199999</v>
          </cell>
        </row>
        <row r="2628">
          <cell r="A2628">
            <v>560120500</v>
          </cell>
          <cell r="B2628" t="str">
            <v>EURO BONDS PREMIUM EXPá (FVTPL)</v>
          </cell>
          <cell r="C2628">
            <v>0</v>
          </cell>
          <cell r="D2628">
            <v>0</v>
          </cell>
          <cell r="E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</row>
        <row r="2629">
          <cell r="A2629">
            <v>560120520</v>
          </cell>
          <cell r="B2629" t="str">
            <v>STATE GOVT BONDS PREMIUM EXPá (A</v>
          </cell>
          <cell r="C2629">
            <v>-16226601.02</v>
          </cell>
          <cell r="D2629">
            <v>0</v>
          </cell>
          <cell r="E2629">
            <v>-16226601.02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-16226601.02</v>
          </cell>
          <cell r="T2629">
            <v>16226601.02</v>
          </cell>
        </row>
        <row r="2630">
          <cell r="A2630">
            <v>560120540</v>
          </cell>
          <cell r="B2630" t="str">
            <v>STATE GOVT BONDS PREMIUM EXPáá (</v>
          </cell>
          <cell r="C2630">
            <v>0</v>
          </cell>
          <cell r="D2630">
            <v>0</v>
          </cell>
          <cell r="E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</row>
        <row r="2631">
          <cell r="A2631">
            <v>560120550</v>
          </cell>
          <cell r="B2631" t="str">
            <v>FGN BONDS REVALUATION LOSSá (FVT</v>
          </cell>
          <cell r="C2631">
            <v>34727012.530000001</v>
          </cell>
          <cell r="D2631">
            <v>0</v>
          </cell>
          <cell r="E2631">
            <v>34727012.530000001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34727012.530000001</v>
          </cell>
          <cell r="T2631">
            <v>34727012.530000001</v>
          </cell>
        </row>
        <row r="2632">
          <cell r="A2632">
            <v>560120570</v>
          </cell>
          <cell r="B2632" t="str">
            <v>STATE GOVT BONDS REVALUATION LOS</v>
          </cell>
          <cell r="C2632">
            <v>0</v>
          </cell>
          <cell r="D2632">
            <v>0</v>
          </cell>
          <cell r="E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</row>
        <row r="2633">
          <cell r="A2633">
            <v>560120600</v>
          </cell>
          <cell r="B2633" t="str">
            <v>CORP BONDS REVALUATION LOSSáá (F</v>
          </cell>
          <cell r="C2633">
            <v>0</v>
          </cell>
          <cell r="D2633">
            <v>0</v>
          </cell>
          <cell r="E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</row>
        <row r="2634">
          <cell r="A2634">
            <v>560120610</v>
          </cell>
          <cell r="B2634" t="str">
            <v>EURO BONDS REVALUATION LOSSá (FV</v>
          </cell>
          <cell r="C2634">
            <v>0</v>
          </cell>
          <cell r="D2634">
            <v>0</v>
          </cell>
          <cell r="E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</row>
        <row r="2635">
          <cell r="A2635" t="str">
            <v>_x0012_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</row>
        <row r="2636"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</row>
        <row r="2637">
          <cell r="C2637" t="str">
            <v>Polaris Bank Limited, N</v>
          </cell>
          <cell r="D2637" t="str">
            <v>igeria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</row>
        <row r="2638">
          <cell r="C2638" t="str">
            <v>** Consolidated Balance Shee</v>
          </cell>
          <cell r="D2638" t="str">
            <v>t CBN **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</row>
        <row r="2639"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</row>
        <row r="2640">
          <cell r="C2640" t="str">
            <v>As on :     31-OCT-2025</v>
          </cell>
          <cell r="E2640" t="str">
            <v>Page   :   47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</row>
        <row r="2641"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</row>
        <row r="2642">
          <cell r="A2642" t="str">
            <v>User Id :</v>
          </cell>
          <cell r="B2642" t="str">
            <v>SYSTEM</v>
          </cell>
          <cell r="C2642" t="str">
            <v>Date 1 Time :     01-NOV-2025</v>
          </cell>
          <cell r="D2642">
            <v>0.21625000000000003</v>
          </cell>
          <cell r="E2642" t="str">
            <v>Module :   GL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</row>
        <row r="2643">
          <cell r="A2643" t="str">
            <v>----------</v>
          </cell>
          <cell r="B2643" t="str">
            <v>----------------------------------------</v>
          </cell>
          <cell r="C2643" t="str">
            <v>------------------------------</v>
          </cell>
          <cell r="D2643" t="str">
            <v>------------------------------</v>
          </cell>
          <cell r="E2643" t="str">
            <v>----------------------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</row>
        <row r="2644">
          <cell r="A2644" t="str">
            <v>GL Code</v>
          </cell>
          <cell r="B2644" t="str">
            <v>Description</v>
          </cell>
          <cell r="C2644" t="str">
            <v>LCY Amount</v>
          </cell>
          <cell r="D2644" t="str">
            <v>FCY Amount (Lcy Eq)</v>
          </cell>
          <cell r="E2644" t="str">
            <v>Total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</row>
        <row r="2645"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</row>
        <row r="2646">
          <cell r="A2646" t="str">
            <v>----------</v>
          </cell>
          <cell r="B2646" t="str">
            <v>----------------------------------------</v>
          </cell>
          <cell r="C2646" t="str">
            <v>------------------------------</v>
          </cell>
          <cell r="D2646" t="str">
            <v>------------------------------</v>
          </cell>
          <cell r="E2646" t="str">
            <v>----------------------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</row>
        <row r="2647">
          <cell r="A2647" t="str">
            <v>Expense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</row>
        <row r="2648"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</row>
        <row r="2649">
          <cell r="A2649">
            <v>560120630</v>
          </cell>
          <cell r="B2649" t="str">
            <v>T.BILLS BONDS REVALUATION LOSSá</v>
          </cell>
          <cell r="C2649">
            <v>-26452644.309999999</v>
          </cell>
          <cell r="D2649">
            <v>0</v>
          </cell>
          <cell r="E2649">
            <v>-26452644.309999999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-26452644.309999999</v>
          </cell>
          <cell r="T2649">
            <v>-26452644.309999999</v>
          </cell>
        </row>
        <row r="2650">
          <cell r="A2650">
            <v>560120640</v>
          </cell>
          <cell r="B2650" t="str">
            <v>T.BILLS BONDS REVALUATION LOSSáá</v>
          </cell>
          <cell r="C2650">
            <v>0</v>
          </cell>
          <cell r="D2650">
            <v>0</v>
          </cell>
          <cell r="E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</row>
        <row r="2651">
          <cell r="A2651">
            <v>560120650</v>
          </cell>
          <cell r="B2651" t="str">
            <v>T.BILLS TRADING LOSS A/C</v>
          </cell>
          <cell r="C2651">
            <v>6740584232.6099997</v>
          </cell>
          <cell r="D2651">
            <v>0</v>
          </cell>
          <cell r="E2651">
            <v>6740584232.6099997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6740584232.6099997</v>
          </cell>
          <cell r="T2651">
            <v>6740584232.6099997</v>
          </cell>
        </row>
        <row r="2652">
          <cell r="A2652">
            <v>560120660</v>
          </cell>
          <cell r="B2652" t="str">
            <v>CORP BONDS TRADING LOSS A/C</v>
          </cell>
          <cell r="C2652">
            <v>0</v>
          </cell>
          <cell r="D2652">
            <v>0</v>
          </cell>
          <cell r="E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</row>
        <row r="2653">
          <cell r="A2653">
            <v>560120680</v>
          </cell>
          <cell r="B2653" t="str">
            <v>EURO BONDS TRADING LOSS A/C</v>
          </cell>
          <cell r="C2653">
            <v>0</v>
          </cell>
          <cell r="D2653">
            <v>0</v>
          </cell>
          <cell r="E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</row>
        <row r="2654">
          <cell r="A2654">
            <v>560120690</v>
          </cell>
          <cell r="B2654" t="str">
            <v>FGN BONDS TRADING LOSS A/C</v>
          </cell>
          <cell r="C2654">
            <v>14797260016.780001</v>
          </cell>
          <cell r="D2654">
            <v>0</v>
          </cell>
          <cell r="E2654">
            <v>14797260016.780001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14797260016.780001</v>
          </cell>
          <cell r="T2654">
            <v>14797260016.780001</v>
          </cell>
        </row>
        <row r="2655">
          <cell r="A2655">
            <v>560120700</v>
          </cell>
          <cell r="B2655" t="str">
            <v>E-CHANNELS WEB EXPENSE</v>
          </cell>
          <cell r="C2655">
            <v>1476017737.4000001</v>
          </cell>
          <cell r="D2655">
            <v>0</v>
          </cell>
          <cell r="E2655">
            <v>1476017737.4000001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1476017737.4000001</v>
          </cell>
          <cell r="T2655">
            <v>1476017737.4000001</v>
          </cell>
        </row>
        <row r="2656">
          <cell r="A2656">
            <v>560120710</v>
          </cell>
          <cell r="B2656" t="str">
            <v>E-CHANNELS MOBILE EXPENSE</v>
          </cell>
          <cell r="C2656">
            <v>90016178.629999995</v>
          </cell>
          <cell r="D2656">
            <v>0</v>
          </cell>
          <cell r="E2656">
            <v>90016178.629999995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90016178.629999995</v>
          </cell>
          <cell r="T2656">
            <v>90016178.629999995</v>
          </cell>
        </row>
        <row r="2657">
          <cell r="A2657">
            <v>560120720</v>
          </cell>
          <cell r="B2657" t="str">
            <v>STATUS DRIVER SUBSIDY EXPENSE</v>
          </cell>
          <cell r="C2657">
            <v>0</v>
          </cell>
          <cell r="D2657">
            <v>0</v>
          </cell>
          <cell r="E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</row>
        <row r="2658">
          <cell r="A2658">
            <v>560120730</v>
          </cell>
          <cell r="B2658" t="str">
            <v>FIRS PROMAX SOLUTION EXPS</v>
          </cell>
          <cell r="C2658">
            <v>0</v>
          </cell>
          <cell r="D2658">
            <v>0</v>
          </cell>
          <cell r="E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</row>
        <row r="2659">
          <cell r="A2659">
            <v>560120740</v>
          </cell>
          <cell r="B2659" t="str">
            <v>AMORTISED COST-LOSS</v>
          </cell>
          <cell r="C2659">
            <v>536563788.99000001</v>
          </cell>
          <cell r="D2659">
            <v>0</v>
          </cell>
          <cell r="E2659">
            <v>536563788.99000001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536563788.99000001</v>
          </cell>
          <cell r="T2659">
            <v>-536563788.99000001</v>
          </cell>
        </row>
        <row r="2660">
          <cell r="A2660">
            <v>560120750</v>
          </cell>
          <cell r="B2660" t="str">
            <v>ZONE SWITCH EXPENSE GL</v>
          </cell>
          <cell r="C2660">
            <v>0</v>
          </cell>
          <cell r="D2660">
            <v>0</v>
          </cell>
          <cell r="E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</row>
        <row r="2661">
          <cell r="A2661">
            <v>560120760</v>
          </cell>
          <cell r="B2661" t="str">
            <v>MEDICAL EXPENSES</v>
          </cell>
          <cell r="C2661">
            <v>194135484.91</v>
          </cell>
          <cell r="D2661">
            <v>0</v>
          </cell>
          <cell r="E2661">
            <v>194135484.91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194135484.91</v>
          </cell>
          <cell r="T2661">
            <v>194135484.91</v>
          </cell>
        </row>
        <row r="2662">
          <cell r="A2662">
            <v>560120770</v>
          </cell>
          <cell r="B2662" t="str">
            <v>EXPENSE RECOVA FEE EXPENSE GL</v>
          </cell>
          <cell r="C2662">
            <v>0</v>
          </cell>
          <cell r="D2662">
            <v>0</v>
          </cell>
          <cell r="E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</row>
        <row r="2663">
          <cell r="A2663">
            <v>560120830</v>
          </cell>
          <cell r="B2663" t="str">
            <v>MSC &amp; TRANSFER EXPENSES</v>
          </cell>
          <cell r="C2663">
            <v>0</v>
          </cell>
          <cell r="D2663">
            <v>0</v>
          </cell>
          <cell r="E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</row>
        <row r="2664">
          <cell r="A2664">
            <v>560120850</v>
          </cell>
          <cell r="B2664" t="str">
            <v>AGENCY BANKING EXPENSE</v>
          </cell>
          <cell r="C2664">
            <v>116074764.61</v>
          </cell>
          <cell r="D2664">
            <v>0</v>
          </cell>
          <cell r="E2664">
            <v>116074764.61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116074764.61</v>
          </cell>
          <cell r="T2664">
            <v>116074764.61</v>
          </cell>
        </row>
        <row r="2665">
          <cell r="A2665">
            <v>560120851</v>
          </cell>
          <cell r="B2665" t="str">
            <v>DEPRECIATION- LEASE (RoU)</v>
          </cell>
          <cell r="C2665">
            <v>415408909.08999997</v>
          </cell>
          <cell r="D2665">
            <v>0</v>
          </cell>
          <cell r="E2665">
            <v>415408909.08999997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415408909.08999997</v>
          </cell>
          <cell r="T2665">
            <v>415408909.08999997</v>
          </cell>
        </row>
        <row r="2666"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</row>
        <row r="2667"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</row>
        <row r="2668">
          <cell r="B2668" t="str">
            <v>*******</v>
          </cell>
          <cell r="C2668" t="str">
            <v>*********************  *******</v>
          </cell>
          <cell r="D2668" t="str">
            <v>**********************  ******</v>
          </cell>
          <cell r="E2668" t="str">
            <v>**********************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</row>
        <row r="2669">
          <cell r="A2669" t="str">
            <v>**** TOTAL</v>
          </cell>
          <cell r="B2669" t="str">
            <v>Expense</v>
          </cell>
          <cell r="C2669">
            <v>574681636266.83997</v>
          </cell>
          <cell r="D2669">
            <v>0</v>
          </cell>
          <cell r="E2669">
            <v>574681636266.83997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</row>
        <row r="2670">
          <cell r="B2670" t="str">
            <v>*******</v>
          </cell>
          <cell r="C2670" t="str">
            <v>*********************  *******</v>
          </cell>
          <cell r="D2670" t="str">
            <v>**********************  ******</v>
          </cell>
          <cell r="E2670" t="str">
            <v>**********************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</row>
        <row r="2671"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</row>
        <row r="2672"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</row>
        <row r="2673">
          <cell r="A2673" t="str">
            <v>_x0012_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</row>
        <row r="2674"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</row>
        <row r="2675">
          <cell r="C2675" t="str">
            <v>Polaris Bank Limited, N</v>
          </cell>
          <cell r="D2675" t="str">
            <v>igeria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</row>
        <row r="2676">
          <cell r="C2676" t="str">
            <v>** Consolidated Balance Shee</v>
          </cell>
          <cell r="D2676" t="str">
            <v>t CBN **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</row>
        <row r="2677"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</row>
        <row r="2678">
          <cell r="C2678" t="str">
            <v>As on :     31-OCT-2025</v>
          </cell>
          <cell r="E2678" t="str">
            <v>Page   :   48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</row>
        <row r="2679"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</row>
        <row r="2680">
          <cell r="A2680" t="str">
            <v>User Id :</v>
          </cell>
          <cell r="B2680" t="str">
            <v>SYSTEM</v>
          </cell>
          <cell r="C2680" t="str">
            <v>Date 1 Time :     01-NOV-2025</v>
          </cell>
          <cell r="D2680">
            <v>0.21625000000000003</v>
          </cell>
          <cell r="E2680" t="str">
            <v>Module :   GL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</row>
        <row r="2681">
          <cell r="A2681" t="str">
            <v>----------</v>
          </cell>
          <cell r="B2681" t="str">
            <v>----------------------------------------</v>
          </cell>
          <cell r="C2681" t="str">
            <v>------------------------------</v>
          </cell>
          <cell r="D2681" t="str">
            <v>------------------------------</v>
          </cell>
          <cell r="E2681" t="str">
            <v>----------------------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</row>
        <row r="2682">
          <cell r="A2682" t="str">
            <v>GL Code</v>
          </cell>
          <cell r="B2682" t="str">
            <v>Description</v>
          </cell>
          <cell r="C2682" t="str">
            <v>LCY Amount</v>
          </cell>
          <cell r="D2682" t="str">
            <v>FCY Amount (Lcy Eq)</v>
          </cell>
          <cell r="E2682" t="str">
            <v>Total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</row>
        <row r="2683"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</row>
        <row r="2684">
          <cell r="A2684" t="str">
            <v>----------</v>
          </cell>
          <cell r="B2684" t="str">
            <v>----------------------------------------</v>
          </cell>
          <cell r="C2684" t="str">
            <v>------------------------------</v>
          </cell>
          <cell r="D2684" t="str">
            <v>------------------------------</v>
          </cell>
          <cell r="E2684" t="str">
            <v>----------------------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</row>
        <row r="2685">
          <cell r="A2685" t="str">
            <v>Contingent</v>
          </cell>
          <cell r="B2685" t="str">
            <v>Asset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</row>
        <row r="2686"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</row>
        <row r="2687">
          <cell r="A2687">
            <v>600010001</v>
          </cell>
          <cell r="B2687" t="str">
            <v>CUST. LIAB.   BID/TENDER BOND</v>
          </cell>
          <cell r="C2687">
            <v>3828839472.5999999</v>
          </cell>
          <cell r="D2687">
            <v>368824347.85000002</v>
          </cell>
          <cell r="E2687">
            <v>4197663820.4499998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4197663820.4499998</v>
          </cell>
          <cell r="T2687">
            <v>4197663820.4499998</v>
          </cell>
        </row>
        <row r="2688">
          <cell r="A2688">
            <v>600010002</v>
          </cell>
          <cell r="B2688" t="str">
            <v>CUST. LIAB.   CUSTOM BOND</v>
          </cell>
          <cell r="C2688">
            <v>2891742547</v>
          </cell>
          <cell r="D2688">
            <v>0</v>
          </cell>
          <cell r="E2688">
            <v>2891742547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2891742547</v>
          </cell>
          <cell r="T2688">
            <v>2891742547</v>
          </cell>
        </row>
        <row r="2689">
          <cell r="A2689">
            <v>600010003</v>
          </cell>
          <cell r="B2689" t="str">
            <v>CUST. LIAB.  ADVANCE PAYMENT GUA</v>
          </cell>
          <cell r="C2689">
            <v>47304606278.040001</v>
          </cell>
          <cell r="D2689">
            <v>44623104279.019997</v>
          </cell>
          <cell r="E2689">
            <v>91927710557.059998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91927710557.059998</v>
          </cell>
          <cell r="T2689">
            <v>91927710557.059998</v>
          </cell>
        </row>
        <row r="2690">
          <cell r="A2690">
            <v>600010004</v>
          </cell>
          <cell r="B2690" t="str">
            <v>CUST. LIAB.   BANK GUARANTEE</v>
          </cell>
          <cell r="C2690">
            <v>141169865023.14001</v>
          </cell>
          <cell r="D2690">
            <v>182055271.46000001</v>
          </cell>
          <cell r="E2690">
            <v>141351920294.60001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141351920294.60001</v>
          </cell>
          <cell r="T2690">
            <v>141351920294.60001</v>
          </cell>
        </row>
        <row r="2691">
          <cell r="A2691">
            <v>600010005</v>
          </cell>
          <cell r="B2691" t="str">
            <v>CUST. LIAB.   PERFORMANCE BONDS</v>
          </cell>
          <cell r="C2691">
            <v>19975728322.529999</v>
          </cell>
          <cell r="D2691">
            <v>21800784842.330002</v>
          </cell>
          <cell r="E2691">
            <v>41776513164.860001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41776513164.860001</v>
          </cell>
          <cell r="T2691">
            <v>41776513164.860001</v>
          </cell>
        </row>
        <row r="2692">
          <cell r="A2692">
            <v>600010006</v>
          </cell>
          <cell r="B2692" t="str">
            <v>CUST. LIAB.   LETTERS OF CREDIT</v>
          </cell>
          <cell r="C2692">
            <v>0</v>
          </cell>
          <cell r="D2692">
            <v>37617981232.970001</v>
          </cell>
          <cell r="E2692">
            <v>37617981232.970001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37617981232.970001</v>
          </cell>
          <cell r="T2692">
            <v>37617981232.970001</v>
          </cell>
        </row>
        <row r="2693">
          <cell r="A2693">
            <v>600010007</v>
          </cell>
          <cell r="B2693" t="str">
            <v>CUST.LIAB.CLEAN LINE LC(SCB LOND</v>
          </cell>
          <cell r="C2693">
            <v>0</v>
          </cell>
          <cell r="D2693">
            <v>0</v>
          </cell>
          <cell r="E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</row>
        <row r="2694">
          <cell r="A2694">
            <v>600010008</v>
          </cell>
          <cell r="B2694" t="str">
            <v>CUST.LIAB.CLEAN LINE LC(FB LONDO</v>
          </cell>
          <cell r="C2694">
            <v>0</v>
          </cell>
          <cell r="D2694">
            <v>0</v>
          </cell>
          <cell r="E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</row>
        <row r="2695">
          <cell r="A2695">
            <v>600010009</v>
          </cell>
          <cell r="B2695" t="str">
            <v>CUST.LIAB.CLEAN LINE LC(BANK BEI</v>
          </cell>
          <cell r="C2695">
            <v>0</v>
          </cell>
          <cell r="D2695">
            <v>0</v>
          </cell>
          <cell r="E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</row>
        <row r="2696">
          <cell r="A2696">
            <v>600010010</v>
          </cell>
          <cell r="B2696" t="str">
            <v>CUST.LIAB.CLEAN LINE LC(DEUTSCHE</v>
          </cell>
          <cell r="C2696">
            <v>0</v>
          </cell>
          <cell r="D2696">
            <v>0</v>
          </cell>
          <cell r="E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</row>
        <row r="2697">
          <cell r="A2697">
            <v>600010011</v>
          </cell>
          <cell r="B2697" t="str">
            <v>CUST.LIAB.CLEAN LINE LC(CITIBANK</v>
          </cell>
          <cell r="C2697">
            <v>0</v>
          </cell>
          <cell r="D2697">
            <v>0</v>
          </cell>
          <cell r="E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</row>
        <row r="2698">
          <cell r="A2698">
            <v>600010012</v>
          </cell>
          <cell r="B2698" t="str">
            <v>CUST.LIAB.CLEAN LINE LC(COMMERCE</v>
          </cell>
          <cell r="C2698">
            <v>0</v>
          </cell>
          <cell r="D2698">
            <v>0</v>
          </cell>
          <cell r="E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</row>
        <row r="2699">
          <cell r="A2699">
            <v>600010013</v>
          </cell>
          <cell r="B2699" t="str">
            <v>CUST.LIAB.CLEAN LINE LC(UBA  NY</v>
          </cell>
          <cell r="C2699">
            <v>0</v>
          </cell>
          <cell r="D2699">
            <v>0</v>
          </cell>
          <cell r="E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</row>
        <row r="2700">
          <cell r="A2700">
            <v>600010014</v>
          </cell>
          <cell r="B2700" t="str">
            <v>CUST.LIAB.CLEAN LINE LC(GTB LOND</v>
          </cell>
          <cell r="C2700">
            <v>0</v>
          </cell>
          <cell r="D2700">
            <v>0</v>
          </cell>
          <cell r="E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</row>
        <row r="2701">
          <cell r="A2701">
            <v>600010015</v>
          </cell>
          <cell r="B2701" t="str">
            <v>CUST.LIAB.C L LC (ACCESS LONDON)</v>
          </cell>
          <cell r="C2701">
            <v>0</v>
          </cell>
          <cell r="D2701">
            <v>0</v>
          </cell>
          <cell r="E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</row>
        <row r="2702">
          <cell r="A2702">
            <v>600010016</v>
          </cell>
          <cell r="B2702" t="str">
            <v>CUST.LIAB.C L LC (JP MORGAN LOND</v>
          </cell>
          <cell r="C2702">
            <v>0</v>
          </cell>
          <cell r="D2702">
            <v>0</v>
          </cell>
          <cell r="E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</row>
        <row r="2703">
          <cell r="A2703">
            <v>600010017</v>
          </cell>
          <cell r="B2703" t="str">
            <v>CUST.LIAB.C  L LC (SMBC LONDON)</v>
          </cell>
          <cell r="C2703">
            <v>0</v>
          </cell>
          <cell r="D2703">
            <v>0</v>
          </cell>
          <cell r="E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</row>
        <row r="2704">
          <cell r="A2704">
            <v>600010018</v>
          </cell>
          <cell r="B2704" t="str">
            <v>CUST.LIAB.C.LLC(FCMB BANK)</v>
          </cell>
          <cell r="C2704">
            <v>0</v>
          </cell>
          <cell r="D2704">
            <v>0</v>
          </cell>
          <cell r="E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</row>
        <row r="2705">
          <cell r="A2705">
            <v>600010019</v>
          </cell>
          <cell r="B2705" t="str">
            <v>CUST.LIAB.C.L  LC(STANDARD BANK)</v>
          </cell>
          <cell r="C2705">
            <v>0</v>
          </cell>
          <cell r="D2705">
            <v>0</v>
          </cell>
          <cell r="E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</row>
        <row r="2706">
          <cell r="A2706">
            <v>600010020</v>
          </cell>
          <cell r="B2706" t="str">
            <v>CUST.LIAB.C.L  LC(NORDEA BANK)</v>
          </cell>
          <cell r="C2706">
            <v>0</v>
          </cell>
          <cell r="D2706">
            <v>0</v>
          </cell>
          <cell r="E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</row>
        <row r="2707">
          <cell r="A2707">
            <v>600010021</v>
          </cell>
          <cell r="B2707" t="str">
            <v>CUST.LIAB.C L LC (SVENSKA SWEDEN</v>
          </cell>
          <cell r="C2707">
            <v>0</v>
          </cell>
          <cell r="D2707">
            <v>0</v>
          </cell>
          <cell r="E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</row>
        <row r="2708">
          <cell r="A2708">
            <v>600010022</v>
          </cell>
          <cell r="B2708" t="str">
            <v>CUST.LIAB.C.Lá LC(MCB)</v>
          </cell>
          <cell r="C2708">
            <v>0</v>
          </cell>
          <cell r="D2708">
            <v>0</v>
          </cell>
          <cell r="E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</row>
        <row r="2709">
          <cell r="A2709">
            <v>600010023</v>
          </cell>
          <cell r="B2709" t="str">
            <v>FLEXCUBE UPGRADE GL - COTINGENT</v>
          </cell>
          <cell r="C2709">
            <v>0</v>
          </cell>
          <cell r="D2709">
            <v>0</v>
          </cell>
          <cell r="E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</row>
        <row r="2710">
          <cell r="A2710">
            <v>600010026</v>
          </cell>
          <cell r="B2710" t="str">
            <v>CUST.LIAB.C L LC (UNION BANK LON</v>
          </cell>
          <cell r="C2710">
            <v>0</v>
          </cell>
          <cell r="D2710">
            <v>0</v>
          </cell>
          <cell r="E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</row>
        <row r="2711">
          <cell r="A2711">
            <v>600010030</v>
          </cell>
          <cell r="B2711" t="str">
            <v>CUST.LIAB.C L LC (CREDIT SUISSE</v>
          </cell>
          <cell r="C2711">
            <v>0</v>
          </cell>
          <cell r="D2711">
            <v>0</v>
          </cell>
          <cell r="E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</row>
        <row r="2712">
          <cell r="A2712">
            <v>600010031</v>
          </cell>
          <cell r="B2712" t="str">
            <v>CUST.LIAB.CLLC(BHF BANK)</v>
          </cell>
          <cell r="C2712">
            <v>0</v>
          </cell>
          <cell r="D2712">
            <v>22930233.059999999</v>
          </cell>
          <cell r="E2712">
            <v>22930233.059999999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22930233.059999999</v>
          </cell>
          <cell r="T2712">
            <v>22930233.059999999</v>
          </cell>
        </row>
        <row r="2713">
          <cell r="A2713">
            <v>600010032</v>
          </cell>
          <cell r="B2713" t="str">
            <v>CUST.LIAB.C L LC (MBC)</v>
          </cell>
          <cell r="C2713">
            <v>0</v>
          </cell>
          <cell r="D2713">
            <v>0</v>
          </cell>
          <cell r="E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</row>
        <row r="2714">
          <cell r="A2714">
            <v>600010037</v>
          </cell>
          <cell r="B2714" t="str">
            <v>CONTINGENT   REVALUATION GAIN</v>
          </cell>
          <cell r="C2714">
            <v>0</v>
          </cell>
          <cell r="D2714">
            <v>-844852799519.73999</v>
          </cell>
          <cell r="E2714">
            <v>-844852799519.73999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-844852799519.73999</v>
          </cell>
          <cell r="T2714">
            <v>-844852799519.73999</v>
          </cell>
        </row>
        <row r="2715">
          <cell r="A2715">
            <v>600010038</v>
          </cell>
          <cell r="B2715" t="str">
            <v>AGSMIES CONTINGENT ASSEST</v>
          </cell>
          <cell r="C2715">
            <v>4164069.99</v>
          </cell>
          <cell r="D2715">
            <v>0</v>
          </cell>
          <cell r="E2715">
            <v>4164069.99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4164069.99</v>
          </cell>
          <cell r="T2715">
            <v>4164069.99</v>
          </cell>
        </row>
        <row r="2716"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</row>
        <row r="2717"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</row>
        <row r="2718">
          <cell r="B2718" t="str">
            <v>*******</v>
          </cell>
          <cell r="C2718" t="str">
            <v>*********************  *******</v>
          </cell>
          <cell r="D2718" t="str">
            <v>**********************  ******</v>
          </cell>
          <cell r="E2718" t="str">
            <v>**********************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</row>
        <row r="2719">
          <cell r="A2719" t="str">
            <v>**** TOTAL</v>
          </cell>
          <cell r="B2719" t="str">
            <v>Contingent Asset</v>
          </cell>
          <cell r="C2719">
            <v>215174945713.29999</v>
          </cell>
          <cell r="D2719">
            <v>-740237119313.05005</v>
          </cell>
          <cell r="E2719">
            <v>-525062173599.75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</row>
        <row r="2720">
          <cell r="B2720" t="str">
            <v>*******</v>
          </cell>
          <cell r="C2720" t="str">
            <v>*********************  *******</v>
          </cell>
          <cell r="D2720" t="str">
            <v>**********************  ******</v>
          </cell>
          <cell r="E2720" t="str">
            <v>**********************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</row>
        <row r="2721"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</row>
        <row r="2722"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</row>
        <row r="2723">
          <cell r="A2723" t="str">
            <v>_x0012_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</row>
        <row r="2724"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</row>
        <row r="2725">
          <cell r="C2725" t="str">
            <v>Polaris Bank Limited, N</v>
          </cell>
          <cell r="D2725" t="str">
            <v>igeria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</row>
        <row r="2726">
          <cell r="C2726" t="str">
            <v>** Consolidated Balance Shee</v>
          </cell>
          <cell r="D2726" t="str">
            <v>t CBN **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</row>
        <row r="2727"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</row>
        <row r="2728">
          <cell r="C2728" t="str">
            <v>As on :     31-OCT-2025</v>
          </cell>
          <cell r="E2728" t="str">
            <v>Page   :   49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</row>
        <row r="2729"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</row>
        <row r="2730">
          <cell r="A2730" t="str">
            <v>User Id :</v>
          </cell>
          <cell r="B2730" t="str">
            <v>SYSTEM</v>
          </cell>
          <cell r="C2730" t="str">
            <v>Date 1 Time :     01-NOV-2025</v>
          </cell>
          <cell r="D2730">
            <v>0.21625000000000003</v>
          </cell>
          <cell r="E2730" t="str">
            <v>Module :   GL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</row>
        <row r="2731">
          <cell r="A2731" t="str">
            <v>----------</v>
          </cell>
          <cell r="B2731" t="str">
            <v>----------------------------------------</v>
          </cell>
          <cell r="C2731" t="str">
            <v>------------------------------</v>
          </cell>
          <cell r="D2731" t="str">
            <v>------------------------------</v>
          </cell>
          <cell r="E2731" t="str">
            <v>----------------------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</row>
        <row r="2732">
          <cell r="A2732" t="str">
            <v>GL Code</v>
          </cell>
          <cell r="B2732" t="str">
            <v>Description</v>
          </cell>
          <cell r="C2732" t="str">
            <v>LCY Amount</v>
          </cell>
          <cell r="D2732" t="str">
            <v>FCY Amount (Lcy Eq)</v>
          </cell>
          <cell r="E2732" t="str">
            <v>Total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</row>
        <row r="2733"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</row>
        <row r="2734">
          <cell r="A2734" t="str">
            <v>----------</v>
          </cell>
          <cell r="B2734" t="str">
            <v>----------------------------------------</v>
          </cell>
          <cell r="C2734" t="str">
            <v>------------------------------</v>
          </cell>
          <cell r="D2734" t="str">
            <v>------------------------------</v>
          </cell>
          <cell r="E2734" t="str">
            <v>----------------------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</row>
        <row r="2735">
          <cell r="A2735" t="str">
            <v>Contingent</v>
          </cell>
          <cell r="B2735" t="str">
            <v>Liability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</row>
        <row r="2736"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</row>
        <row r="2737">
          <cell r="A2737">
            <v>700010001</v>
          </cell>
          <cell r="B2737" t="str">
            <v>OUR LIAB.   BID/TENDER BOND</v>
          </cell>
          <cell r="C2737">
            <v>3828839472.5999999</v>
          </cell>
          <cell r="D2737">
            <v>368824347.85000002</v>
          </cell>
          <cell r="E2737">
            <v>4197663820.4499998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4197663820.4499998</v>
          </cell>
          <cell r="T2737">
            <v>4197663820.4499998</v>
          </cell>
        </row>
        <row r="2738">
          <cell r="A2738">
            <v>700010002</v>
          </cell>
          <cell r="B2738" t="str">
            <v>OUR LIAB. CUSTOM BOND</v>
          </cell>
          <cell r="C2738">
            <v>2891742547</v>
          </cell>
          <cell r="D2738">
            <v>0</v>
          </cell>
          <cell r="E2738">
            <v>2891742547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2891742547</v>
          </cell>
          <cell r="T2738">
            <v>2891742547</v>
          </cell>
        </row>
        <row r="2739">
          <cell r="A2739">
            <v>700010003</v>
          </cell>
          <cell r="B2739" t="str">
            <v>OUR LIAB.  ADVANCE PAYMENT GUARA</v>
          </cell>
          <cell r="C2739">
            <v>47304606278.040001</v>
          </cell>
          <cell r="D2739">
            <v>44623104279.019997</v>
          </cell>
          <cell r="E2739">
            <v>91927710557.059998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91927710557.059998</v>
          </cell>
          <cell r="T2739">
            <v>91927710557.059998</v>
          </cell>
        </row>
        <row r="2740">
          <cell r="A2740">
            <v>700010004</v>
          </cell>
          <cell r="B2740" t="str">
            <v>OUR LIAB.   BANK GUARANTEE</v>
          </cell>
          <cell r="C2740">
            <v>141169865023.14001</v>
          </cell>
          <cell r="D2740">
            <v>182055271.46000001</v>
          </cell>
          <cell r="E2740">
            <v>141351920294.60001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141351920294.60001</v>
          </cell>
          <cell r="T2740">
            <v>141351920294.60001</v>
          </cell>
        </row>
        <row r="2741">
          <cell r="A2741">
            <v>700010005</v>
          </cell>
          <cell r="B2741" t="str">
            <v>OUR LIAB.   PERFORMANCE BONDS</v>
          </cell>
          <cell r="C2741">
            <v>19975728322.529999</v>
          </cell>
          <cell r="D2741">
            <v>21800784842.330002</v>
          </cell>
          <cell r="E2741">
            <v>41776513164.860001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41776513164.860001</v>
          </cell>
          <cell r="T2741">
            <v>41776513164.860001</v>
          </cell>
        </row>
        <row r="2742">
          <cell r="A2742">
            <v>700010006</v>
          </cell>
          <cell r="B2742" t="str">
            <v>OUR LIAB.   LETTERS OF CREDIT</v>
          </cell>
          <cell r="C2742">
            <v>0</v>
          </cell>
          <cell r="D2742">
            <v>37617981232.970001</v>
          </cell>
          <cell r="E2742">
            <v>37617981232.970001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37617981232.970001</v>
          </cell>
          <cell r="T2742">
            <v>37617981232.970001</v>
          </cell>
        </row>
        <row r="2743">
          <cell r="A2743">
            <v>700010007</v>
          </cell>
          <cell r="B2743" t="str">
            <v>OUR LIAB.CLEAN LINE LC(SCB LONDO</v>
          </cell>
          <cell r="C2743">
            <v>0</v>
          </cell>
          <cell r="D2743">
            <v>0</v>
          </cell>
          <cell r="E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</row>
        <row r="2744">
          <cell r="A2744">
            <v>700010008</v>
          </cell>
          <cell r="B2744" t="str">
            <v>OUR LIAB.CLEAN LINE LC(FB LONDON</v>
          </cell>
          <cell r="C2744">
            <v>0</v>
          </cell>
          <cell r="D2744">
            <v>0</v>
          </cell>
          <cell r="E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</row>
        <row r="2745">
          <cell r="A2745">
            <v>700010009</v>
          </cell>
          <cell r="B2745" t="str">
            <v>OUR LIAB.CLEAN LINE LC(BANK BEIR</v>
          </cell>
          <cell r="C2745">
            <v>0</v>
          </cell>
          <cell r="D2745">
            <v>0</v>
          </cell>
          <cell r="E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</row>
        <row r="2746">
          <cell r="A2746">
            <v>700010010</v>
          </cell>
          <cell r="B2746" t="str">
            <v>OUR LIAB.CLEAN LINE LC(DEUTSCHE</v>
          </cell>
          <cell r="C2746">
            <v>0</v>
          </cell>
          <cell r="D2746">
            <v>0</v>
          </cell>
          <cell r="E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</row>
        <row r="2747">
          <cell r="A2747">
            <v>700010011</v>
          </cell>
          <cell r="B2747" t="str">
            <v>OUR LIAB.CLEAN LINE LC(CITIBANK</v>
          </cell>
          <cell r="C2747">
            <v>0</v>
          </cell>
          <cell r="D2747">
            <v>0</v>
          </cell>
          <cell r="E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</row>
        <row r="2748">
          <cell r="A2748">
            <v>700010012</v>
          </cell>
          <cell r="B2748" t="str">
            <v>OUR LIAB.CLEAN LINE LC(COMMERCE</v>
          </cell>
          <cell r="C2748">
            <v>0</v>
          </cell>
          <cell r="D2748">
            <v>0</v>
          </cell>
          <cell r="E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</row>
        <row r="2749">
          <cell r="A2749">
            <v>700010013</v>
          </cell>
          <cell r="B2749" t="str">
            <v>OUR LIAB.CLEAN LINE LC(UBA  NY)</v>
          </cell>
          <cell r="C2749">
            <v>0</v>
          </cell>
          <cell r="D2749">
            <v>0</v>
          </cell>
          <cell r="E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</row>
        <row r="2750">
          <cell r="A2750">
            <v>700010014</v>
          </cell>
          <cell r="B2750" t="str">
            <v>OUR LIAB.CLEAN LINE LC(GTB LONDO</v>
          </cell>
          <cell r="C2750">
            <v>0</v>
          </cell>
          <cell r="D2750">
            <v>0</v>
          </cell>
          <cell r="E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</row>
        <row r="2751">
          <cell r="A2751">
            <v>700010015</v>
          </cell>
          <cell r="B2751" t="str">
            <v>OUR LIAB.C L LC (ACCESS LONDON)</v>
          </cell>
          <cell r="C2751">
            <v>0</v>
          </cell>
          <cell r="D2751">
            <v>0</v>
          </cell>
          <cell r="E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</row>
        <row r="2752">
          <cell r="A2752">
            <v>700010016</v>
          </cell>
          <cell r="B2752" t="str">
            <v>OUR LIAB.C.L LC (JP MORGAN LONDO</v>
          </cell>
          <cell r="C2752">
            <v>0</v>
          </cell>
          <cell r="D2752">
            <v>0</v>
          </cell>
          <cell r="E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</row>
        <row r="2753">
          <cell r="A2753">
            <v>700010017</v>
          </cell>
          <cell r="B2753" t="str">
            <v>OUR LIAB.C.L LC (SMBC LONDON)</v>
          </cell>
          <cell r="C2753">
            <v>0</v>
          </cell>
          <cell r="D2753">
            <v>0</v>
          </cell>
          <cell r="E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</row>
        <row r="2754">
          <cell r="A2754">
            <v>700010018</v>
          </cell>
          <cell r="B2754" t="str">
            <v>BANK.LIAB.C.LLC(FCMB BANK)</v>
          </cell>
          <cell r="C2754">
            <v>0</v>
          </cell>
          <cell r="D2754">
            <v>0</v>
          </cell>
          <cell r="E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</row>
        <row r="2755">
          <cell r="A2755">
            <v>700010019</v>
          </cell>
          <cell r="B2755" t="str">
            <v>OUR LIAB.C.L LC (STANDARD BANK)</v>
          </cell>
          <cell r="C2755">
            <v>0</v>
          </cell>
          <cell r="D2755">
            <v>0</v>
          </cell>
          <cell r="E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</row>
        <row r="2756">
          <cell r="A2756">
            <v>700010020</v>
          </cell>
          <cell r="B2756" t="str">
            <v>OUR LIAB.C.L LC (NORDEA BANK)</v>
          </cell>
          <cell r="C2756">
            <v>0</v>
          </cell>
          <cell r="D2756">
            <v>0</v>
          </cell>
          <cell r="E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</row>
        <row r="2757">
          <cell r="A2757">
            <v>700010021</v>
          </cell>
          <cell r="B2757" t="str">
            <v>OUR.LIAB.C L LC (SVENSKA SWEDEN)</v>
          </cell>
          <cell r="C2757">
            <v>0</v>
          </cell>
          <cell r="D2757">
            <v>0</v>
          </cell>
          <cell r="E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</row>
        <row r="2758">
          <cell r="A2758">
            <v>700010022</v>
          </cell>
          <cell r="B2758" t="str">
            <v>OUR.LIAB.C.Lá LC(MCB)</v>
          </cell>
          <cell r="C2758">
            <v>0</v>
          </cell>
          <cell r="D2758">
            <v>0</v>
          </cell>
          <cell r="E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</row>
        <row r="2759">
          <cell r="A2759">
            <v>700010023</v>
          </cell>
          <cell r="B2759" t="str">
            <v>FLEXCUBE UPGRADE GL - COTINGENT</v>
          </cell>
          <cell r="C2759">
            <v>0</v>
          </cell>
          <cell r="D2759">
            <v>0</v>
          </cell>
          <cell r="E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</row>
        <row r="2760">
          <cell r="A2760">
            <v>700010026</v>
          </cell>
          <cell r="B2760" t="str">
            <v>CUST.LIAB.C L LC (UNION BANK LON</v>
          </cell>
          <cell r="C2760">
            <v>0</v>
          </cell>
          <cell r="D2760">
            <v>0</v>
          </cell>
          <cell r="E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</row>
        <row r="2761">
          <cell r="A2761">
            <v>700010030</v>
          </cell>
          <cell r="B2761" t="str">
            <v>CUST.LIAB.C L LC (CREDIT SUISSE</v>
          </cell>
          <cell r="C2761">
            <v>0</v>
          </cell>
          <cell r="D2761">
            <v>0</v>
          </cell>
          <cell r="E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</row>
        <row r="2762">
          <cell r="A2762">
            <v>700010031</v>
          </cell>
          <cell r="B2762" t="str">
            <v>BANK.LIAB.CLLC(BHF BANK)</v>
          </cell>
          <cell r="C2762">
            <v>0</v>
          </cell>
          <cell r="D2762">
            <v>22930233.059999999</v>
          </cell>
          <cell r="E2762">
            <v>22930233.059999999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22930233.059999999</v>
          </cell>
          <cell r="T2762">
            <v>22930233.059999999</v>
          </cell>
        </row>
        <row r="2763">
          <cell r="A2763">
            <v>700010032</v>
          </cell>
          <cell r="B2763" t="str">
            <v>CUST.LIAB.C L LC (MBC)</v>
          </cell>
          <cell r="C2763">
            <v>0</v>
          </cell>
          <cell r="D2763">
            <v>0</v>
          </cell>
          <cell r="E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</row>
        <row r="2764">
          <cell r="A2764">
            <v>700010037</v>
          </cell>
          <cell r="B2764" t="str">
            <v>CONTINGENT REVALUATION LOSS</v>
          </cell>
          <cell r="C2764">
            <v>0</v>
          </cell>
          <cell r="D2764">
            <v>-844852799519.73999</v>
          </cell>
          <cell r="E2764">
            <v>-844852799519.73999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-844852799519.73999</v>
          </cell>
          <cell r="T2764">
            <v>-844852799519.73999</v>
          </cell>
        </row>
        <row r="2765">
          <cell r="A2765">
            <v>700010038</v>
          </cell>
          <cell r="B2765" t="str">
            <v>AGSMIES CONTINGENT LIABILITY</v>
          </cell>
          <cell r="C2765">
            <v>4164069.99</v>
          </cell>
          <cell r="D2765">
            <v>0</v>
          </cell>
          <cell r="E2765">
            <v>4164069.99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4164069.99</v>
          </cell>
          <cell r="T2765">
            <v>4164069.99</v>
          </cell>
        </row>
        <row r="2766"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</row>
        <row r="2767"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</row>
        <row r="2768">
          <cell r="B2768" t="str">
            <v>*******</v>
          </cell>
          <cell r="C2768" t="str">
            <v>*********************  *******</v>
          </cell>
          <cell r="D2768" t="str">
            <v>**********************  ******</v>
          </cell>
          <cell r="E2768" t="str">
            <v>**********************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</row>
        <row r="2769">
          <cell r="A2769" t="str">
            <v>**** TOTAL</v>
          </cell>
          <cell r="B2769" t="str">
            <v>Contingent Liability</v>
          </cell>
          <cell r="C2769">
            <v>215174945713.29999</v>
          </cell>
          <cell r="D2769">
            <v>-740237119313.05005</v>
          </cell>
          <cell r="E2769">
            <v>-525062173599.75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</row>
        <row r="2770">
          <cell r="B2770" t="str">
            <v>*******</v>
          </cell>
          <cell r="C2770" t="str">
            <v>*********************  *******</v>
          </cell>
          <cell r="D2770" t="str">
            <v>**********************  ******</v>
          </cell>
          <cell r="E2770" t="str">
            <v>**********************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</row>
        <row r="2771"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</row>
        <row r="2772"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</row>
        <row r="2773">
          <cell r="A2773" t="str">
            <v>_x0012_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</row>
        <row r="2774">
          <cell r="C2774" t="str">
            <v>Debit</v>
          </cell>
          <cell r="E2774" t="str">
            <v>Credit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</row>
        <row r="2775">
          <cell r="C2775" t="str">
            <v>-----</v>
          </cell>
          <cell r="E2775" t="str">
            <v>------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</row>
        <row r="2776"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</row>
        <row r="2777"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</row>
        <row r="2778"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</row>
        <row r="2779">
          <cell r="B2779" t="str">
            <v>Assets  :</v>
          </cell>
          <cell r="C2779">
            <v>2763011495547.8198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</row>
        <row r="2780"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</row>
        <row r="2781">
          <cell r="B2781" t="str">
            <v>Liability :</v>
          </cell>
          <cell r="E2781">
            <v>2740534039545.75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</row>
        <row r="2782"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</row>
        <row r="2783">
          <cell r="B2783" t="str">
            <v>Income :</v>
          </cell>
          <cell r="E2783">
            <v>597159092268.91003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</row>
        <row r="2784"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</row>
        <row r="2785">
          <cell r="B2785" t="str">
            <v>Expense :</v>
          </cell>
          <cell r="C2785">
            <v>574681636266.83997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</row>
        <row r="2786"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</row>
        <row r="2787"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</row>
        <row r="2788"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</row>
        <row r="2789">
          <cell r="C2789" t="str">
            <v>**********************</v>
          </cell>
          <cell r="D2789" t="str">
            <v>*</v>
          </cell>
          <cell r="E2789" t="str">
            <v>*********************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</row>
        <row r="2790"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</row>
        <row r="2791">
          <cell r="B2791" t="str">
            <v>Total :</v>
          </cell>
          <cell r="C2791">
            <v>3337693131814.6602</v>
          </cell>
          <cell r="E2791">
            <v>3337693131814.6602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</row>
        <row r="2792">
          <cell r="C2792" t="str">
            <v>**********************</v>
          </cell>
          <cell r="D2792" t="str">
            <v>*</v>
          </cell>
          <cell r="E2792" t="str">
            <v>*********************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</row>
        <row r="2793"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</row>
        <row r="2794"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</row>
        <row r="2795"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</row>
        <row r="2796"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</row>
        <row r="2797"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</row>
        <row r="2798">
          <cell r="C2798" t="str">
            <v>-- END OF REPORT --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</row>
        <row r="2799">
          <cell r="A2799" t="str">
            <v>_x0012_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</row>
        <row r="2800"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</row>
        <row r="2801"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</row>
        <row r="2802"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</row>
        <row r="2803"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</row>
        <row r="2804"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</row>
        <row r="2805"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</row>
        <row r="2806"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</row>
        <row r="2807"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</row>
        <row r="2808"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</row>
        <row r="2809"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</row>
        <row r="2810"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</row>
        <row r="2811"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</row>
        <row r="2812"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</row>
        <row r="2813"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</row>
        <row r="2814"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</row>
        <row r="2815"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</row>
        <row r="2816"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</row>
        <row r="2817"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</row>
        <row r="2818"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</row>
        <row r="2819"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</row>
        <row r="2820"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</row>
        <row r="2821"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</row>
        <row r="2822"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</row>
        <row r="2823"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</row>
        <row r="2824"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</row>
        <row r="2825"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</row>
        <row r="2826"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</row>
        <row r="2827"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</row>
        <row r="2828"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</row>
        <row r="2829"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</row>
        <row r="2830"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</row>
        <row r="2831"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</row>
        <row r="2832"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</row>
        <row r="2833"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</row>
        <row r="2834"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</row>
        <row r="2835"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</row>
        <row r="2836"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</row>
        <row r="2837"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</row>
        <row r="2838"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</row>
        <row r="2839"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</row>
        <row r="2840"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</row>
        <row r="2841"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</row>
        <row r="2842"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</row>
        <row r="2843"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</row>
        <row r="2844"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</row>
        <row r="2845"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</row>
        <row r="2846"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</row>
        <row r="2847"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</row>
        <row r="2848"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</row>
        <row r="2849"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</row>
        <row r="2850"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</row>
        <row r="2851"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</row>
        <row r="2852"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</row>
        <row r="2853"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</row>
        <row r="2854"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</row>
        <row r="2855"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</row>
        <row r="2856"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</row>
        <row r="2857"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</row>
        <row r="2858"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</row>
        <row r="2859"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</row>
        <row r="2860"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</row>
        <row r="2861"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</row>
        <row r="2862"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</row>
        <row r="2863"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</row>
        <row r="2864"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</row>
        <row r="2865"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</row>
        <row r="2866"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</row>
        <row r="2867"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</row>
        <row r="2868"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</row>
        <row r="2869"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</row>
        <row r="2870"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</row>
        <row r="2871"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</row>
        <row r="2872"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</row>
        <row r="2873"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</row>
        <row r="2874"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</row>
        <row r="2875"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</row>
        <row r="2876"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</row>
        <row r="2877"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</row>
        <row r="2878"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</row>
        <row r="2879"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</row>
        <row r="2880"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</row>
        <row r="2881"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</row>
        <row r="2882"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</row>
        <row r="2883"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</row>
        <row r="2884"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</row>
        <row r="2885"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</row>
        <row r="2886"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</row>
        <row r="2887"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</row>
        <row r="2888"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</row>
        <row r="2889"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</row>
        <row r="2890"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</row>
        <row r="2891"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</row>
        <row r="2892"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</row>
        <row r="2893"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</row>
        <row r="2894"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</row>
        <row r="2895"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</row>
        <row r="2896"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</row>
        <row r="2897"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</row>
        <row r="2898"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</row>
        <row r="2899"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</row>
        <row r="2900"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</row>
        <row r="2901"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</row>
        <row r="2902"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</row>
        <row r="2903"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</row>
        <row r="2904"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</row>
        <row r="2905"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</row>
        <row r="2906"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</row>
        <row r="2907"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</row>
        <row r="2908"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</row>
        <row r="2909"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</row>
        <row r="2910"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</row>
        <row r="2911"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</row>
        <row r="2912"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</row>
        <row r="2913"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</row>
        <row r="2914"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</row>
        <row r="2915"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</row>
        <row r="2916"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</row>
        <row r="2917"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</row>
        <row r="2918"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</row>
        <row r="2919"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</row>
        <row r="2920"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</row>
        <row r="2921"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</row>
        <row r="2922"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</row>
        <row r="2923"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</row>
        <row r="2924"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</row>
        <row r="2925"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</row>
        <row r="2926"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</row>
        <row r="2927"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</row>
        <row r="2928"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</row>
        <row r="2929"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</row>
        <row r="2930"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</row>
        <row r="2931"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</row>
        <row r="2932"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</row>
        <row r="2933"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</row>
        <row r="2934"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</row>
        <row r="2935"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</row>
        <row r="2936"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</row>
        <row r="2937"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</row>
        <row r="2938"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</row>
        <row r="2939"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</row>
        <row r="2940"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</row>
        <row r="2941"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</row>
        <row r="2942"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</row>
        <row r="2943"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</row>
        <row r="2944"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</row>
        <row r="2945"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</row>
        <row r="2946"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</row>
        <row r="2947"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</row>
        <row r="2948"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</row>
        <row r="2949"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</row>
        <row r="2950"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</row>
        <row r="2951"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</row>
        <row r="2952"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</row>
        <row r="2953"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</row>
        <row r="2954"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</row>
        <row r="2955"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</row>
        <row r="2956"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</row>
        <row r="2957"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</row>
        <row r="2958"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</row>
        <row r="2959"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</row>
        <row r="2960"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</row>
        <row r="2961"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</row>
        <row r="2962"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</row>
        <row r="2963"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</row>
        <row r="2964"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</row>
        <row r="2965"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</row>
        <row r="2966"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</row>
        <row r="2967"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</row>
        <row r="2968"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</row>
        <row r="2969"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</row>
        <row r="2970"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</row>
        <row r="2971"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</row>
        <row r="2972"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</row>
        <row r="2973"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</row>
        <row r="2974"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</row>
        <row r="2975"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</row>
        <row r="2976"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</row>
        <row r="2977"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</row>
        <row r="2978"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</row>
        <row r="2979"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</row>
        <row r="2980"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</row>
        <row r="2981"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</row>
        <row r="2982"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</row>
        <row r="2983"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</row>
        <row r="2984"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</row>
        <row r="2985"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</row>
        <row r="2986"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</row>
        <row r="2987"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</row>
        <row r="2988"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</row>
        <row r="2989"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</row>
        <row r="2990"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</row>
        <row r="2991"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</row>
        <row r="2992"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</row>
        <row r="2993"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</row>
        <row r="2994"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</row>
        <row r="2995"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</row>
        <row r="2996"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</row>
        <row r="2997"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</row>
        <row r="2998"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</row>
        <row r="2999"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</row>
        <row r="3000"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</row>
        <row r="3001"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</row>
        <row r="3002"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</row>
        <row r="3003"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</row>
        <row r="3004"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</row>
        <row r="3005"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</row>
        <row r="3006"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</row>
        <row r="3007"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</row>
        <row r="3008"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</row>
        <row r="3009"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</row>
        <row r="3010"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</row>
        <row r="3011"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</row>
        <row r="3012"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</row>
        <row r="3013"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</row>
        <row r="3014"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</row>
        <row r="3015"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</row>
        <row r="3016"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</row>
        <row r="3017"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</row>
        <row r="3018"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</row>
        <row r="3019"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</row>
        <row r="3020"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</row>
        <row r="3027">
          <cell r="C3027">
            <v>1426.2</v>
          </cell>
          <cell r="D3027">
            <v>913688793.528</v>
          </cell>
        </row>
        <row r="3028">
          <cell r="D3028">
            <v>200177335.37199998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zoomScale="90" zoomScaleNormal="90" workbookViewId="0">
      <pane xSplit="2" ySplit="1" topLeftCell="J28" activePane="bottomRight" state="frozen"/>
      <selection pane="topRight" activeCell="C1" sqref="C1"/>
      <selection pane="bottomLeft" activeCell="A5" sqref="A5"/>
      <selection pane="bottomRight" activeCell="O51" sqref="O51"/>
    </sheetView>
  </sheetViews>
  <sheetFormatPr defaultColWidth="8.77734375" defaultRowHeight="14.4" x14ac:dyDescent="0.3"/>
  <cols>
    <col min="1" max="1" width="14.77734375" style="2" customWidth="1"/>
    <col min="2" max="2" width="41.77734375" bestFit="1" customWidth="1"/>
    <col min="3" max="5" width="22.5546875" hidden="1" customWidth="1"/>
    <col min="6" max="8" width="22.5546875" bestFit="1" customWidth="1"/>
    <col min="9" max="9" width="22.5546875" hidden="1" customWidth="1"/>
    <col min="10" max="15" width="24.44140625" bestFit="1" customWidth="1"/>
  </cols>
  <sheetData>
    <row r="1" spans="1:15" s="3" customFormat="1" ht="30" customHeight="1" thickBot="1" x14ac:dyDescent="0.25">
      <c r="A1" s="17" t="s">
        <v>0</v>
      </c>
      <c r="B1" s="18" t="s">
        <v>67</v>
      </c>
      <c r="C1" s="19" t="s">
        <v>70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76</v>
      </c>
      <c r="I1" s="19" t="s">
        <v>77</v>
      </c>
      <c r="J1" s="19" t="s">
        <v>78</v>
      </c>
      <c r="K1" s="19" t="s">
        <v>79</v>
      </c>
      <c r="L1" s="19" t="s">
        <v>80</v>
      </c>
      <c r="M1" s="19" t="s">
        <v>81</v>
      </c>
      <c r="N1" s="19" t="s">
        <v>82</v>
      </c>
      <c r="O1" s="19" t="s">
        <v>83</v>
      </c>
    </row>
    <row r="2" spans="1:15" ht="15" thickBot="1" x14ac:dyDescent="0.35">
      <c r="A2" s="22" t="s">
        <v>68</v>
      </c>
      <c r="B2" s="2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">
      <c r="A3" s="6">
        <v>560020030</v>
      </c>
      <c r="B3" s="7" t="s">
        <v>19</v>
      </c>
      <c r="C3" s="8">
        <v>9131162.1500000004</v>
      </c>
      <c r="D3" s="8">
        <v>23219248.789999999</v>
      </c>
      <c r="E3" s="8">
        <v>39229493.780000001</v>
      </c>
      <c r="F3" s="8">
        <v>51277681.590000004</v>
      </c>
      <c r="G3" s="8">
        <v>60468460.240000002</v>
      </c>
      <c r="H3" s="8">
        <v>71539298.239999995</v>
      </c>
      <c r="I3" s="8">
        <v>99465722.349999994</v>
      </c>
      <c r="J3" s="8">
        <v>111204959.43000001</v>
      </c>
      <c r="K3" s="8">
        <v>117005006</v>
      </c>
      <c r="L3" s="8">
        <f>VLOOKUP(A3,[1]CBS!$A:$T,20,FALSE)</f>
        <v>125214002.98999999</v>
      </c>
      <c r="M3" s="8">
        <v>137156938.74000001</v>
      </c>
      <c r="N3" s="8">
        <v>150655031.46000001</v>
      </c>
      <c r="O3" s="8">
        <v>150655031.46000001</v>
      </c>
    </row>
    <row r="4" spans="1:15" x14ac:dyDescent="0.3">
      <c r="A4" s="6">
        <v>560020040</v>
      </c>
      <c r="B4" s="7" t="s">
        <v>18</v>
      </c>
      <c r="C4" s="8">
        <v>21241650.899999999</v>
      </c>
      <c r="D4" s="8">
        <v>47177945</v>
      </c>
      <c r="E4" s="8">
        <v>69216889.790000007</v>
      </c>
      <c r="F4" s="8">
        <v>85091115.450000003</v>
      </c>
      <c r="G4" s="8">
        <v>102558240.37</v>
      </c>
      <c r="H4" s="8">
        <v>127168367.23999999</v>
      </c>
      <c r="I4" s="8">
        <v>149200229.36000001</v>
      </c>
      <c r="J4" s="8">
        <v>168712325.69</v>
      </c>
      <c r="K4" s="8">
        <v>192126804.94999999</v>
      </c>
      <c r="L4" s="8">
        <f>VLOOKUP(A4,[1]CBS!$A:$T,20,FALSE)</f>
        <v>215120576.74000001</v>
      </c>
      <c r="M4" s="8">
        <v>228748244.63999999</v>
      </c>
      <c r="N4" s="8">
        <v>241803938.13999999</v>
      </c>
      <c r="O4" s="8">
        <v>241803938.13999999</v>
      </c>
    </row>
    <row r="5" spans="1:15" x14ac:dyDescent="0.3">
      <c r="A5" s="6">
        <v>560020070</v>
      </c>
      <c r="B5" s="7" t="s">
        <v>1</v>
      </c>
      <c r="C5" s="8">
        <v>198500</v>
      </c>
      <c r="D5" s="8">
        <v>292090</v>
      </c>
      <c r="E5" s="8">
        <v>6636207.8799999999</v>
      </c>
      <c r="F5" s="8">
        <v>11425404.25</v>
      </c>
      <c r="G5" s="8">
        <v>27064990.399999999</v>
      </c>
      <c r="H5" s="8">
        <v>47003500.810000002</v>
      </c>
      <c r="I5" s="8">
        <v>64574729.549999997</v>
      </c>
      <c r="J5" s="8">
        <v>84254837.079999998</v>
      </c>
      <c r="K5" s="8">
        <v>90560978.540000007</v>
      </c>
      <c r="L5" s="8">
        <f>VLOOKUP(A5,[1]CBS!$A:$T,20,FALSE)</f>
        <v>125619567.27</v>
      </c>
      <c r="M5" s="8">
        <v>141019490.34999999</v>
      </c>
      <c r="N5" s="8">
        <v>168209305.28999999</v>
      </c>
      <c r="O5" s="8">
        <v>168209305.28999999</v>
      </c>
    </row>
    <row r="6" spans="1:15" x14ac:dyDescent="0.3">
      <c r="A6" s="6">
        <v>560030010</v>
      </c>
      <c r="B6" s="7" t="s">
        <v>20</v>
      </c>
      <c r="C6" s="8">
        <v>972700</v>
      </c>
      <c r="D6" s="8">
        <v>2681200</v>
      </c>
      <c r="E6" s="8">
        <v>5315050</v>
      </c>
      <c r="F6" s="8">
        <v>6637650</v>
      </c>
      <c r="G6" s="8">
        <v>7480650</v>
      </c>
      <c r="H6" s="8">
        <v>10490950</v>
      </c>
      <c r="I6" s="8">
        <v>11280300</v>
      </c>
      <c r="J6" s="8">
        <v>12125700</v>
      </c>
      <c r="K6" s="8">
        <v>13645200</v>
      </c>
      <c r="L6" s="8">
        <f>VLOOKUP(A6,[1]CBS!$A:$T,20,FALSE)</f>
        <v>14837400</v>
      </c>
      <c r="M6" s="8">
        <v>15573750</v>
      </c>
      <c r="N6" s="8">
        <v>17901050</v>
      </c>
      <c r="O6" s="8">
        <v>17901050</v>
      </c>
    </row>
    <row r="7" spans="1:15" x14ac:dyDescent="0.3">
      <c r="A7" s="6">
        <v>560030030</v>
      </c>
      <c r="B7" s="7" t="s">
        <v>2</v>
      </c>
      <c r="C7" s="8">
        <v>542500</v>
      </c>
      <c r="D7" s="8">
        <v>1228000</v>
      </c>
      <c r="E7" s="8">
        <v>2228000</v>
      </c>
      <c r="F7" s="8">
        <v>3586500</v>
      </c>
      <c r="G7" s="8">
        <v>4832154.6100000003</v>
      </c>
      <c r="H7" s="8">
        <v>6584499.6100000003</v>
      </c>
      <c r="I7" s="8">
        <v>7806749.6100000003</v>
      </c>
      <c r="J7" s="8">
        <v>9604609.3200000003</v>
      </c>
      <c r="K7" s="8">
        <v>10763109.32</v>
      </c>
      <c r="L7" s="8">
        <f>VLOOKUP(A7,[1]CBS!$A:$T,20,FALSE)</f>
        <v>12265609.32</v>
      </c>
      <c r="M7" s="8">
        <v>13453109.32</v>
      </c>
      <c r="N7" s="8">
        <v>15568505.17</v>
      </c>
      <c r="O7" s="8">
        <v>15568505.17</v>
      </c>
    </row>
    <row r="8" spans="1:15" x14ac:dyDescent="0.3">
      <c r="A8" s="6">
        <v>560030040</v>
      </c>
      <c r="B8" s="7" t="s">
        <v>43</v>
      </c>
      <c r="C8" s="8">
        <v>561600</v>
      </c>
      <c r="D8" s="8">
        <v>2886630.08</v>
      </c>
      <c r="E8" s="8">
        <v>4061032.59</v>
      </c>
      <c r="F8" s="8">
        <v>5059681.91</v>
      </c>
      <c r="G8" s="8">
        <v>5694681.9100000001</v>
      </c>
      <c r="H8" s="8">
        <v>6880250.0199999996</v>
      </c>
      <c r="I8" s="8">
        <v>7867189.9800000004</v>
      </c>
      <c r="J8" s="8">
        <v>8816189.5899999999</v>
      </c>
      <c r="K8" s="8">
        <v>10470433.439999999</v>
      </c>
      <c r="L8" s="8">
        <f>VLOOKUP(A8,[1]CBS!$A:$T,20,FALSE)</f>
        <v>11931131.09</v>
      </c>
      <c r="M8" s="8">
        <v>12825860.470000001</v>
      </c>
      <c r="N8" s="8">
        <v>13652764.74</v>
      </c>
      <c r="O8" s="8">
        <v>13652764.74</v>
      </c>
    </row>
    <row r="9" spans="1:15" x14ac:dyDescent="0.3">
      <c r="A9" s="6">
        <v>560030060</v>
      </c>
      <c r="B9" s="7" t="s">
        <v>32</v>
      </c>
      <c r="C9" s="8">
        <v>35000</v>
      </c>
      <c r="D9" s="8">
        <v>60000</v>
      </c>
      <c r="E9" s="8">
        <v>76000</v>
      </c>
      <c r="F9" s="8">
        <v>76000</v>
      </c>
      <c r="G9" s="8">
        <v>5076000</v>
      </c>
      <c r="H9" s="8">
        <v>5099600</v>
      </c>
      <c r="I9" s="8">
        <v>5099600</v>
      </c>
      <c r="J9" s="8">
        <v>5099600</v>
      </c>
      <c r="K9" s="8">
        <v>5099600</v>
      </c>
      <c r="L9" s="8">
        <f>VLOOKUP(A9,[1]CBS!$A:$T,20,FALSE)</f>
        <v>5099600</v>
      </c>
      <c r="M9" s="8">
        <v>5168600</v>
      </c>
      <c r="N9" s="8">
        <v>5191600</v>
      </c>
      <c r="O9" s="8">
        <v>5191600</v>
      </c>
    </row>
    <row r="10" spans="1:15" x14ac:dyDescent="0.3">
      <c r="A10" s="6">
        <v>560050010</v>
      </c>
      <c r="B10" s="7" t="s">
        <v>44</v>
      </c>
      <c r="C10" s="8">
        <v>17402125</v>
      </c>
      <c r="D10" s="8">
        <v>38562327</v>
      </c>
      <c r="E10" s="8">
        <v>61162062</v>
      </c>
      <c r="F10" s="8">
        <v>86194430</v>
      </c>
      <c r="G10" s="8">
        <v>138702041</v>
      </c>
      <c r="H10" s="8">
        <v>157695326</v>
      </c>
      <c r="I10" s="8">
        <v>188826162.06999999</v>
      </c>
      <c r="J10" s="8">
        <v>200921412.06999999</v>
      </c>
      <c r="K10" s="8">
        <v>244446698.06999999</v>
      </c>
      <c r="L10" s="8">
        <f>VLOOKUP(A10,[1]CBS!$A:$T,20,FALSE)</f>
        <v>275607121.06999999</v>
      </c>
      <c r="M10" s="8">
        <v>331049858.54000002</v>
      </c>
      <c r="N10" s="8">
        <v>370172354.54000002</v>
      </c>
      <c r="O10" s="8">
        <v>370172354.54000002</v>
      </c>
    </row>
    <row r="11" spans="1:15" x14ac:dyDescent="0.3">
      <c r="A11" s="6">
        <v>560050020</v>
      </c>
      <c r="B11" s="7" t="s">
        <v>16</v>
      </c>
      <c r="C11" s="8">
        <v>591300</v>
      </c>
      <c r="D11" s="8">
        <v>1042600</v>
      </c>
      <c r="E11" s="8">
        <v>1778200</v>
      </c>
      <c r="F11" s="8">
        <v>2222800</v>
      </c>
      <c r="G11" s="8">
        <v>3007400</v>
      </c>
      <c r="H11" s="8">
        <v>3887000</v>
      </c>
      <c r="I11" s="8">
        <v>4620700</v>
      </c>
      <c r="J11" s="8">
        <v>5314800</v>
      </c>
      <c r="K11" s="8">
        <v>6114900</v>
      </c>
      <c r="L11" s="8">
        <f>VLOOKUP(A11,[1]CBS!$A:$T,20,FALSE)</f>
        <v>7295100</v>
      </c>
      <c r="M11" s="8">
        <v>8115900</v>
      </c>
      <c r="N11" s="8">
        <v>9220000</v>
      </c>
      <c r="O11" s="8">
        <v>9220000</v>
      </c>
    </row>
    <row r="12" spans="1:15" x14ac:dyDescent="0.3">
      <c r="A12" s="6">
        <v>560060010</v>
      </c>
      <c r="B12" s="7" t="s">
        <v>25</v>
      </c>
      <c r="C12" s="8">
        <v>88072000</v>
      </c>
      <c r="D12" s="8">
        <v>176161350</v>
      </c>
      <c r="E12" s="8">
        <v>264593600</v>
      </c>
      <c r="F12" s="8">
        <v>353754750</v>
      </c>
      <c r="G12" s="8">
        <v>442079500</v>
      </c>
      <c r="H12" s="8">
        <v>530422500</v>
      </c>
      <c r="I12" s="8">
        <v>618482050</v>
      </c>
      <c r="J12" s="8">
        <v>706254950</v>
      </c>
      <c r="K12" s="8">
        <v>794149300</v>
      </c>
      <c r="L12" s="8">
        <f>VLOOKUP(A12,[1]CBS!$A:$T,20,FALSE)</f>
        <v>794714400</v>
      </c>
      <c r="M12" s="8">
        <v>882682950</v>
      </c>
      <c r="N12" s="8">
        <v>970733250</v>
      </c>
      <c r="O12" s="8">
        <v>970733250</v>
      </c>
    </row>
    <row r="13" spans="1:15" x14ac:dyDescent="0.3">
      <c r="A13" s="6">
        <v>560060020</v>
      </c>
      <c r="B13" s="7" t="s">
        <v>6</v>
      </c>
      <c r="C13" s="8">
        <v>132864862</v>
      </c>
      <c r="D13" s="8">
        <v>339592091</v>
      </c>
      <c r="E13" s="8">
        <v>637500294.32000005</v>
      </c>
      <c r="F13" s="8">
        <v>1009049292.0599999</v>
      </c>
      <c r="G13" s="8">
        <v>1246770819.0599999</v>
      </c>
      <c r="H13" s="8">
        <v>1606922294.6199999</v>
      </c>
      <c r="I13" s="8">
        <v>1783480745.73</v>
      </c>
      <c r="J13" s="8">
        <v>2013048610.1900001</v>
      </c>
      <c r="K13" s="8">
        <v>2307848214.0700002</v>
      </c>
      <c r="L13" s="8">
        <f>VLOOKUP(A13,[1]CBS!$A:$T,20,FALSE)</f>
        <v>2491915451.54</v>
      </c>
      <c r="M13" s="8">
        <v>2806766622.3200002</v>
      </c>
      <c r="N13" s="8">
        <v>3024559232.5700002</v>
      </c>
      <c r="O13" s="8">
        <v>3024559232.5700002</v>
      </c>
    </row>
    <row r="14" spans="1:15" x14ac:dyDescent="0.3">
      <c r="A14" s="6">
        <v>560060030</v>
      </c>
      <c r="B14" s="7" t="s">
        <v>7</v>
      </c>
      <c r="C14" s="8">
        <v>1107000</v>
      </c>
      <c r="D14" s="8">
        <v>4409000</v>
      </c>
      <c r="E14" s="8">
        <v>9818000</v>
      </c>
      <c r="F14" s="8">
        <v>11040250</v>
      </c>
      <c r="G14" s="8">
        <v>13036250</v>
      </c>
      <c r="H14" s="8">
        <v>14797000</v>
      </c>
      <c r="I14" s="8">
        <v>19956000</v>
      </c>
      <c r="J14" s="8">
        <v>22622000</v>
      </c>
      <c r="K14" s="8">
        <v>27200100</v>
      </c>
      <c r="L14" s="8">
        <f>VLOOKUP(A14,[1]CBS!$A:$T,20,FALSE)</f>
        <v>32315100</v>
      </c>
      <c r="M14" s="8">
        <v>38357100</v>
      </c>
      <c r="N14" s="8">
        <v>45238100</v>
      </c>
      <c r="O14" s="8">
        <v>45238100</v>
      </c>
    </row>
    <row r="15" spans="1:15" x14ac:dyDescent="0.3">
      <c r="A15" s="6">
        <v>560060040</v>
      </c>
      <c r="B15" s="7" t="s">
        <v>45</v>
      </c>
      <c r="C15" s="8">
        <v>10076422.84</v>
      </c>
      <c r="D15" s="8">
        <v>124380285.59</v>
      </c>
      <c r="E15" s="8">
        <v>239165895.36000001</v>
      </c>
      <c r="F15" s="8">
        <v>365799786.31</v>
      </c>
      <c r="G15" s="8">
        <v>490744558.39999998</v>
      </c>
      <c r="H15" s="8">
        <v>603061526.61000001</v>
      </c>
      <c r="I15" s="8">
        <v>715416603.59000003</v>
      </c>
      <c r="J15" s="8">
        <v>809945548.08000004</v>
      </c>
      <c r="K15" s="8">
        <v>920901746.37</v>
      </c>
      <c r="L15" s="8">
        <f>VLOOKUP(A15,[1]CBS!$A:$T,20,FALSE)</f>
        <v>1031741703.89</v>
      </c>
      <c r="M15" s="8">
        <v>1145316011.55</v>
      </c>
      <c r="N15" s="8">
        <v>1316034373.8900001</v>
      </c>
      <c r="O15" s="8">
        <v>1316034373.8900001</v>
      </c>
    </row>
    <row r="16" spans="1:15" x14ac:dyDescent="0.3">
      <c r="A16" s="6">
        <v>560060050</v>
      </c>
      <c r="B16" s="7" t="s">
        <v>46</v>
      </c>
      <c r="C16" s="8">
        <v>953375</v>
      </c>
      <c r="D16" s="8">
        <v>1890425</v>
      </c>
      <c r="E16" s="8">
        <v>2777337.03</v>
      </c>
      <c r="F16" s="8">
        <v>3715237.03</v>
      </c>
      <c r="G16" s="8">
        <v>4496437.09</v>
      </c>
      <c r="H16" s="8">
        <v>4996937.09</v>
      </c>
      <c r="I16" s="8">
        <v>5939067.0899999999</v>
      </c>
      <c r="J16" s="8">
        <v>6488467.0899999999</v>
      </c>
      <c r="K16" s="8">
        <v>7016127.0899999999</v>
      </c>
      <c r="L16" s="8">
        <f>VLOOKUP(A16,[1]CBS!$A:$T,20,FALSE)</f>
        <v>10030180.220000001</v>
      </c>
      <c r="M16" s="8">
        <v>14120215.24</v>
      </c>
      <c r="N16" s="8">
        <v>22962855.210000001</v>
      </c>
      <c r="O16" s="8">
        <v>22962855.210000001</v>
      </c>
    </row>
    <row r="17" spans="1:15" x14ac:dyDescent="0.3">
      <c r="A17" s="6">
        <v>560060060</v>
      </c>
      <c r="B17" s="7" t="s">
        <v>47</v>
      </c>
      <c r="C17" s="8">
        <v>5808631.25</v>
      </c>
      <c r="D17" s="8">
        <v>18058666.75</v>
      </c>
      <c r="E17" s="8">
        <v>30669741.75</v>
      </c>
      <c r="F17" s="8">
        <v>42593323</v>
      </c>
      <c r="G17" s="8">
        <v>58043323</v>
      </c>
      <c r="H17" s="8">
        <v>69824595.859999999</v>
      </c>
      <c r="I17" s="8">
        <v>86488615.010000005</v>
      </c>
      <c r="J17" s="8">
        <v>98037477.010000005</v>
      </c>
      <c r="K17" s="8">
        <v>116984665.51000001</v>
      </c>
      <c r="L17" s="8">
        <f>VLOOKUP(A17,[1]CBS!$A:$T,20,FALSE)</f>
        <v>224556332.81</v>
      </c>
      <c r="M17" s="8">
        <v>237471766.31</v>
      </c>
      <c r="N17" s="8">
        <v>258612141.31</v>
      </c>
      <c r="O17" s="8">
        <v>258612141.31</v>
      </c>
    </row>
    <row r="18" spans="1:15" x14ac:dyDescent="0.3">
      <c r="A18" s="6">
        <v>560060070</v>
      </c>
      <c r="B18" s="7" t="s">
        <v>64</v>
      </c>
      <c r="C18" s="8">
        <v>160309815.84</v>
      </c>
      <c r="D18" s="8">
        <v>320648261.95999998</v>
      </c>
      <c r="E18" s="8">
        <v>480812227.80000001</v>
      </c>
      <c r="F18" s="8">
        <v>641240572.12</v>
      </c>
      <c r="G18" s="8">
        <v>801039955.51999998</v>
      </c>
      <c r="H18" s="8">
        <v>966339139.24000001</v>
      </c>
      <c r="I18" s="8">
        <v>1129740612.0899999</v>
      </c>
      <c r="J18" s="8">
        <v>1293821148.6800001</v>
      </c>
      <c r="K18" s="8">
        <v>1456741844.1400001</v>
      </c>
      <c r="L18" s="8">
        <f>VLOOKUP(A18,[1]CBS!$A:$T,20,FALSE)</f>
        <v>1645556198.05</v>
      </c>
      <c r="M18" s="8">
        <v>1815794688.23</v>
      </c>
      <c r="N18" s="8">
        <v>2056796173.8800001</v>
      </c>
      <c r="O18" s="8">
        <v>2056796173.8800001</v>
      </c>
    </row>
    <row r="19" spans="1:15" x14ac:dyDescent="0.3">
      <c r="A19" s="6">
        <v>560070030</v>
      </c>
      <c r="B19" s="7" t="s">
        <v>26</v>
      </c>
      <c r="C19" s="8">
        <v>6403978.2699999996</v>
      </c>
      <c r="D19" s="8">
        <v>22073862.449999999</v>
      </c>
      <c r="E19" s="8">
        <v>37111135.119999997</v>
      </c>
      <c r="F19" s="8">
        <v>53261687.469999999</v>
      </c>
      <c r="G19" s="8">
        <v>64872569.75</v>
      </c>
      <c r="H19" s="8">
        <v>75712924.170000002</v>
      </c>
      <c r="I19" s="8">
        <v>83873001.780000001</v>
      </c>
      <c r="J19" s="8">
        <v>89702523.25</v>
      </c>
      <c r="K19" s="8">
        <v>98455461.739999995</v>
      </c>
      <c r="L19" s="8">
        <f>VLOOKUP(A19,[1]CBS!$A:$T,20,FALSE)</f>
        <v>98978786.870000005</v>
      </c>
      <c r="M19" s="8">
        <v>108658347.26000001</v>
      </c>
      <c r="N19" s="8">
        <v>159768542.36000001</v>
      </c>
      <c r="O19" s="8">
        <v>159768542.36000001</v>
      </c>
    </row>
    <row r="20" spans="1:15" x14ac:dyDescent="0.3">
      <c r="A20" s="6">
        <v>560080010</v>
      </c>
      <c r="B20" s="7" t="s">
        <v>48</v>
      </c>
      <c r="C20" s="8">
        <v>10172261.17</v>
      </c>
      <c r="D20" s="8">
        <v>43584789.350000001</v>
      </c>
      <c r="E20" s="8">
        <v>97310438.510000005</v>
      </c>
      <c r="F20" s="8">
        <v>137509305.15000001</v>
      </c>
      <c r="G20" s="8">
        <v>189652762.11000001</v>
      </c>
      <c r="H20" s="8">
        <v>239465966.56999999</v>
      </c>
      <c r="I20" s="8">
        <v>290289740.81999999</v>
      </c>
      <c r="J20" s="8">
        <v>327174286.61000001</v>
      </c>
      <c r="K20" s="8">
        <v>372630558.72000003</v>
      </c>
      <c r="L20" s="8">
        <f>VLOOKUP(A20,[1]CBS!$A:$T,20,FALSE)</f>
        <v>415121247.60000002</v>
      </c>
      <c r="M20" s="8">
        <v>443931541.35000002</v>
      </c>
      <c r="N20" s="8">
        <v>510889545.18000001</v>
      </c>
      <c r="O20" s="8">
        <v>510889545.18000001</v>
      </c>
    </row>
    <row r="21" spans="1:15" x14ac:dyDescent="0.3">
      <c r="A21" s="6">
        <v>560080020</v>
      </c>
      <c r="B21" s="7" t="s">
        <v>49</v>
      </c>
      <c r="C21" s="8">
        <v>573252.88</v>
      </c>
      <c r="D21" s="8">
        <v>1146505.76</v>
      </c>
      <c r="E21" s="8">
        <v>1719758.64</v>
      </c>
      <c r="F21" s="8">
        <v>2293011.52</v>
      </c>
      <c r="G21" s="8">
        <v>2866264.4</v>
      </c>
      <c r="H21" s="8">
        <v>3439517.28</v>
      </c>
      <c r="I21" s="8">
        <v>4012770.16</v>
      </c>
      <c r="J21" s="8">
        <v>4636936.82</v>
      </c>
      <c r="K21" s="8">
        <v>4959161.6500000004</v>
      </c>
      <c r="L21" s="8">
        <f>VLOOKUP(A21,[1]CBS!$A:$T,20,FALSE)</f>
        <v>5732528.7999999998</v>
      </c>
      <c r="M21" s="8">
        <v>6305781.6799999997</v>
      </c>
      <c r="N21" s="8">
        <v>6879034.5599999996</v>
      </c>
      <c r="O21" s="8">
        <v>6879034.5599999996</v>
      </c>
    </row>
    <row r="22" spans="1:15" x14ac:dyDescent="0.3">
      <c r="A22" s="6">
        <v>560080030</v>
      </c>
      <c r="B22" s="7" t="s">
        <v>50</v>
      </c>
      <c r="C22" s="8">
        <v>32500</v>
      </c>
      <c r="D22" s="8">
        <v>82000</v>
      </c>
      <c r="E22" s="8">
        <v>114500</v>
      </c>
      <c r="F22" s="8">
        <v>147000</v>
      </c>
      <c r="G22" s="8">
        <v>179500</v>
      </c>
      <c r="H22" s="8">
        <v>212000</v>
      </c>
      <c r="I22" s="8">
        <v>227500</v>
      </c>
      <c r="J22" s="8">
        <v>600638.61</v>
      </c>
      <c r="K22" s="8">
        <v>4258461.5999999996</v>
      </c>
      <c r="L22" s="8">
        <f>VLOOKUP(A22,[1]CBS!$A:$T,20,FALSE)</f>
        <v>325000</v>
      </c>
      <c r="M22" s="8">
        <v>357500</v>
      </c>
      <c r="N22" s="8">
        <v>390000</v>
      </c>
      <c r="O22" s="8">
        <v>390000</v>
      </c>
    </row>
    <row r="23" spans="1:15" x14ac:dyDescent="0.3">
      <c r="A23" s="6">
        <v>560080040</v>
      </c>
      <c r="B23" s="7" t="s">
        <v>51</v>
      </c>
      <c r="C23" s="8">
        <v>10130747.02</v>
      </c>
      <c r="D23" s="8">
        <v>20261494.039999999</v>
      </c>
      <c r="E23" s="8">
        <v>30392241.059999999</v>
      </c>
      <c r="F23" s="8">
        <v>31016407.73</v>
      </c>
      <c r="G23" s="8">
        <v>31640574.399999999</v>
      </c>
      <c r="H23" s="8">
        <v>32264741.07</v>
      </c>
      <c r="I23" s="8">
        <v>32888907.739999998</v>
      </c>
      <c r="J23" s="8">
        <v>33494660.620000001</v>
      </c>
      <c r="K23" s="8">
        <v>34137241.07</v>
      </c>
      <c r="L23" s="8">
        <f>VLOOKUP(A23,[1]CBS!$A:$T,20,FALSE)</f>
        <v>34761407.740000002</v>
      </c>
      <c r="M23" s="8">
        <v>35385574.409999996</v>
      </c>
      <c r="N23" s="8">
        <v>36009741.25</v>
      </c>
      <c r="O23" s="8">
        <v>36009741.25</v>
      </c>
    </row>
    <row r="24" spans="1:15" x14ac:dyDescent="0.3">
      <c r="A24" s="6">
        <v>560080050</v>
      </c>
      <c r="B24" s="7" t="s">
        <v>3</v>
      </c>
      <c r="C24" s="8">
        <v>4661599.0599999996</v>
      </c>
      <c r="D24" s="8">
        <v>9323198.1199999992</v>
      </c>
      <c r="E24" s="8">
        <v>13984797.18</v>
      </c>
      <c r="F24" s="8">
        <v>18646396.239999998</v>
      </c>
      <c r="G24" s="8">
        <v>23307995.300000001</v>
      </c>
      <c r="H24" s="8">
        <v>27969594.359999999</v>
      </c>
      <c r="I24" s="8">
        <v>32341194.57</v>
      </c>
      <c r="J24" s="8">
        <v>36339656.170000002</v>
      </c>
      <c r="K24" s="8">
        <v>37336947.909999996</v>
      </c>
      <c r="L24" s="8">
        <f>VLOOKUP(A24,[1]CBS!$A:$T,20,FALSE)</f>
        <v>45649327.759999998</v>
      </c>
      <c r="M24" s="8">
        <v>50214260.530000001</v>
      </c>
      <c r="N24" s="8">
        <v>54779193.299999997</v>
      </c>
      <c r="O24" s="8">
        <v>54779193.299999997</v>
      </c>
    </row>
    <row r="25" spans="1:15" x14ac:dyDescent="0.3">
      <c r="A25" s="6">
        <v>560080070</v>
      </c>
      <c r="B25" s="7" t="s">
        <v>4</v>
      </c>
      <c r="C25" s="8">
        <v>5881496.8700000001</v>
      </c>
      <c r="D25" s="8">
        <v>11762993.74</v>
      </c>
      <c r="E25" s="8">
        <v>17644490.609999999</v>
      </c>
      <c r="F25" s="8">
        <v>23525987.48</v>
      </c>
      <c r="G25" s="8">
        <v>29407484.350000001</v>
      </c>
      <c r="H25" s="8">
        <v>35288981.219999999</v>
      </c>
      <c r="I25" s="8">
        <v>41170478.090000004</v>
      </c>
      <c r="J25" s="8">
        <v>46460321.840000004</v>
      </c>
      <c r="K25" s="8">
        <v>52915071.590000004</v>
      </c>
      <c r="L25" s="8">
        <f>VLOOKUP(A25,[1]CBS!$A:$T,20,FALSE)</f>
        <v>58814968.710000001</v>
      </c>
      <c r="M25" s="8">
        <v>64696465.579999998</v>
      </c>
      <c r="N25" s="8">
        <v>70577962.450000003</v>
      </c>
      <c r="O25" s="8">
        <v>70577962.450000003</v>
      </c>
    </row>
    <row r="26" spans="1:15" x14ac:dyDescent="0.3">
      <c r="A26" s="6">
        <v>560090010</v>
      </c>
      <c r="B26" s="7" t="s">
        <v>52</v>
      </c>
      <c r="C26" s="8">
        <v>5271414.91</v>
      </c>
      <c r="D26" s="8">
        <v>30803875.32</v>
      </c>
      <c r="E26" s="8">
        <v>100886434.47</v>
      </c>
      <c r="F26" s="8">
        <v>132801545.29000001</v>
      </c>
      <c r="G26" s="8">
        <v>211906096.38999999</v>
      </c>
      <c r="H26" s="8">
        <v>292929484.37</v>
      </c>
      <c r="I26" s="8">
        <v>338120102.26999998</v>
      </c>
      <c r="J26" s="8">
        <v>392873506.88</v>
      </c>
      <c r="K26" s="8">
        <v>567594178.77999997</v>
      </c>
      <c r="L26" s="8">
        <f>VLOOKUP(A26,[1]CBS!$A:$T,20,FALSE)</f>
        <v>652109723.29999995</v>
      </c>
      <c r="M26" s="8">
        <v>681207034.19000006</v>
      </c>
      <c r="N26" s="8">
        <v>713147892.15999997</v>
      </c>
      <c r="O26" s="8">
        <v>713147892.15999997</v>
      </c>
    </row>
    <row r="27" spans="1:15" x14ac:dyDescent="0.3">
      <c r="A27" s="6">
        <v>560090020</v>
      </c>
      <c r="B27" s="7" t="s">
        <v>53</v>
      </c>
      <c r="C27" s="8">
        <v>377204.06</v>
      </c>
      <c r="D27" s="8">
        <v>754408.12</v>
      </c>
      <c r="E27" s="8">
        <v>1131612.18</v>
      </c>
      <c r="F27" s="8">
        <v>1361109.57</v>
      </c>
      <c r="G27" s="8">
        <v>1542046.96</v>
      </c>
      <c r="H27" s="8">
        <v>2041604.35</v>
      </c>
      <c r="I27" s="8">
        <v>2052541.74</v>
      </c>
      <c r="J27" s="8">
        <v>15203891.6</v>
      </c>
      <c r="K27" s="8">
        <v>16081611.619999999</v>
      </c>
      <c r="L27" s="8">
        <f>VLOOKUP(A27,[1]CBS!$A:$T,20,FALSE)</f>
        <v>16947331.629999999</v>
      </c>
      <c r="M27" s="8">
        <v>17813051.640000001</v>
      </c>
      <c r="N27" s="8">
        <v>18704647.489999998</v>
      </c>
      <c r="O27" s="8">
        <v>18704647.489999998</v>
      </c>
    </row>
    <row r="28" spans="1:15" x14ac:dyDescent="0.3">
      <c r="A28" s="6">
        <v>560090030</v>
      </c>
      <c r="B28" s="7" t="s">
        <v>54</v>
      </c>
      <c r="C28" s="8">
        <v>1668600</v>
      </c>
      <c r="D28" s="8">
        <v>1777950</v>
      </c>
      <c r="E28" s="8">
        <v>2933850</v>
      </c>
      <c r="F28" s="8">
        <v>3000250</v>
      </c>
      <c r="G28" s="8">
        <v>3148850</v>
      </c>
      <c r="H28" s="8">
        <v>3182850</v>
      </c>
      <c r="I28" s="8">
        <v>8809320</v>
      </c>
      <c r="J28" s="8">
        <v>8843120</v>
      </c>
      <c r="K28" s="8">
        <v>8886320</v>
      </c>
      <c r="L28" s="8">
        <f>VLOOKUP(A28,[1]CBS!$A:$T,20,FALSE)</f>
        <v>8936920</v>
      </c>
      <c r="M28" s="8">
        <v>8990220</v>
      </c>
      <c r="N28" s="8">
        <v>9081420</v>
      </c>
      <c r="O28" s="8">
        <v>9081420</v>
      </c>
    </row>
    <row r="29" spans="1:15" x14ac:dyDescent="0.3">
      <c r="A29" s="6">
        <v>560090040</v>
      </c>
      <c r="B29" s="7" t="s">
        <v>55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f>VLOOKUP(A29,[1]CBS!$A:$T,20,FALSE)</f>
        <v>0</v>
      </c>
      <c r="M29" s="8">
        <v>0</v>
      </c>
      <c r="N29" s="8">
        <v>0</v>
      </c>
      <c r="O29" s="8">
        <v>0</v>
      </c>
    </row>
    <row r="30" spans="1:15" x14ac:dyDescent="0.3">
      <c r="A30" s="6">
        <v>560100030</v>
      </c>
      <c r="B30" s="7" t="s">
        <v>57</v>
      </c>
      <c r="C30" s="8">
        <v>55979292.229999997</v>
      </c>
      <c r="D30" s="8">
        <v>160379840.22999999</v>
      </c>
      <c r="E30" s="8">
        <v>284317982.69999999</v>
      </c>
      <c r="F30" s="8">
        <v>364843949.89999998</v>
      </c>
      <c r="G30" s="8">
        <v>487475072.64999998</v>
      </c>
      <c r="H30" s="8">
        <v>602032266.75999999</v>
      </c>
      <c r="I30" s="8">
        <v>717066859.40999997</v>
      </c>
      <c r="J30" s="8">
        <v>813591552.35000002</v>
      </c>
      <c r="K30" s="8">
        <v>943107049.95000005</v>
      </c>
      <c r="L30" s="8">
        <f>VLOOKUP(A30,[1]CBS!$A:$T,20,FALSE)</f>
        <v>1074329238.25</v>
      </c>
      <c r="M30" s="8">
        <v>1175175840.3099999</v>
      </c>
      <c r="N30" s="8">
        <v>1344886649.98</v>
      </c>
      <c r="O30" s="8">
        <v>1344886649.98</v>
      </c>
    </row>
    <row r="31" spans="1:15" x14ac:dyDescent="0.3">
      <c r="A31" s="6">
        <v>560100040</v>
      </c>
      <c r="B31" s="7" t="s">
        <v>58</v>
      </c>
      <c r="C31" s="8">
        <v>8733471.6699999999</v>
      </c>
      <c r="D31" s="8">
        <v>32873429.039999999</v>
      </c>
      <c r="E31" s="8">
        <v>77817311.75</v>
      </c>
      <c r="F31" s="8">
        <v>122654177.33</v>
      </c>
      <c r="G31" s="8">
        <v>161716073.33000001</v>
      </c>
      <c r="H31" s="8">
        <v>203869597.44999999</v>
      </c>
      <c r="I31" s="8">
        <v>257272189.81</v>
      </c>
      <c r="J31" s="8">
        <v>291743792.17000002</v>
      </c>
      <c r="K31" s="8">
        <v>319086705.31</v>
      </c>
      <c r="L31" s="8">
        <f>VLOOKUP(A31,[1]CBS!$A:$T,20,FALSE)</f>
        <v>354669306.94</v>
      </c>
      <c r="M31" s="8">
        <v>391159930.77999997</v>
      </c>
      <c r="N31" s="8">
        <v>444987588.11000001</v>
      </c>
      <c r="O31" s="8">
        <v>444987588.11000001</v>
      </c>
    </row>
    <row r="32" spans="1:15" x14ac:dyDescent="0.3">
      <c r="A32" s="6">
        <v>560100050</v>
      </c>
      <c r="B32" s="7" t="s">
        <v>12</v>
      </c>
      <c r="C32" s="8">
        <v>15585093.800000001</v>
      </c>
      <c r="D32" s="8">
        <v>52078019.340000004</v>
      </c>
      <c r="E32" s="8">
        <v>93474645.290000007</v>
      </c>
      <c r="F32" s="8">
        <v>125120840.45</v>
      </c>
      <c r="G32" s="8">
        <v>160526664.21000001</v>
      </c>
      <c r="H32" s="8">
        <v>188584009.47</v>
      </c>
      <c r="I32" s="8">
        <v>228512147.74000001</v>
      </c>
      <c r="J32" s="8">
        <v>263639392.62</v>
      </c>
      <c r="K32" s="8">
        <v>295694208.69999999</v>
      </c>
      <c r="L32" s="8">
        <f>VLOOKUP(A32,[1]CBS!$A:$T,20,FALSE)</f>
        <v>337031959.01999998</v>
      </c>
      <c r="M32" s="8">
        <v>374194372.00999999</v>
      </c>
      <c r="N32" s="8">
        <v>421568796.94999999</v>
      </c>
      <c r="O32" s="8">
        <v>421568796.94999999</v>
      </c>
    </row>
    <row r="33" spans="1:15" x14ac:dyDescent="0.3">
      <c r="A33" s="6">
        <v>560100060</v>
      </c>
      <c r="B33" s="7" t="s">
        <v>59</v>
      </c>
      <c r="C33" s="8">
        <v>35500</v>
      </c>
      <c r="D33" s="8">
        <v>35500</v>
      </c>
      <c r="E33" s="8">
        <v>65500</v>
      </c>
      <c r="F33" s="8">
        <v>135500</v>
      </c>
      <c r="G33" s="8">
        <v>135500</v>
      </c>
      <c r="H33" s="8">
        <v>153500</v>
      </c>
      <c r="I33" s="8">
        <v>172500</v>
      </c>
      <c r="J33" s="8">
        <v>172500</v>
      </c>
      <c r="K33" s="8">
        <v>172500</v>
      </c>
      <c r="L33" s="8">
        <f>VLOOKUP(A33,[1]CBS!$A:$T,20,FALSE)</f>
        <v>182500</v>
      </c>
      <c r="M33" s="8">
        <v>202500</v>
      </c>
      <c r="N33" s="8">
        <v>510000</v>
      </c>
      <c r="O33" s="8">
        <v>510000</v>
      </c>
    </row>
    <row r="34" spans="1:15" x14ac:dyDescent="0.3">
      <c r="A34" s="6">
        <v>560100070</v>
      </c>
      <c r="B34" s="7" t="s">
        <v>60</v>
      </c>
      <c r="C34" s="8">
        <v>1388144.96</v>
      </c>
      <c r="D34" s="8">
        <v>3218206.22</v>
      </c>
      <c r="E34" s="8">
        <v>4490672.43</v>
      </c>
      <c r="F34" s="8">
        <v>5763138.6399999997</v>
      </c>
      <c r="G34" s="8">
        <v>7064604.8499999996</v>
      </c>
      <c r="H34" s="8">
        <v>8337034.4000000004</v>
      </c>
      <c r="I34" s="8">
        <v>9629463.9499999993</v>
      </c>
      <c r="J34" s="8">
        <v>10901893.5</v>
      </c>
      <c r="K34" s="8">
        <v>12174323.050000001</v>
      </c>
      <c r="L34" s="8">
        <f>VLOOKUP(A34,[1]CBS!$A:$T,20,FALSE)</f>
        <v>13446752.6</v>
      </c>
      <c r="M34" s="8">
        <v>14661223.75</v>
      </c>
      <c r="N34" s="8">
        <v>16049368.710000001</v>
      </c>
      <c r="O34" s="8">
        <v>16049368.710000001</v>
      </c>
    </row>
    <row r="35" spans="1:15" x14ac:dyDescent="0.3">
      <c r="A35" s="6">
        <v>560100080</v>
      </c>
      <c r="B35" s="7" t="s">
        <v>8</v>
      </c>
      <c r="C35" s="8">
        <v>11768849</v>
      </c>
      <c r="D35" s="8">
        <v>37899565.240000002</v>
      </c>
      <c r="E35" s="8">
        <v>64928499.009999998</v>
      </c>
      <c r="F35" s="8">
        <v>82286057.540000007</v>
      </c>
      <c r="G35" s="8">
        <v>117219015.65000001</v>
      </c>
      <c r="H35" s="8">
        <v>136312300.53999999</v>
      </c>
      <c r="I35" s="8">
        <v>164387232.56999999</v>
      </c>
      <c r="J35" s="8">
        <v>186977136.30000001</v>
      </c>
      <c r="K35" s="8">
        <v>210570758.05000001</v>
      </c>
      <c r="L35" s="8">
        <f>VLOOKUP(A35,[1]CBS!$A:$T,20,FALSE)</f>
        <v>233810937.25</v>
      </c>
      <c r="M35" s="8">
        <v>254215697.75</v>
      </c>
      <c r="N35" s="8">
        <v>294885749.69</v>
      </c>
      <c r="O35" s="8">
        <v>294885749.69</v>
      </c>
    </row>
    <row r="36" spans="1:15" x14ac:dyDescent="0.3">
      <c r="A36" s="6">
        <v>560100090</v>
      </c>
      <c r="B36" s="7" t="s">
        <v>61</v>
      </c>
      <c r="C36" s="8">
        <v>275800</v>
      </c>
      <c r="D36" s="8">
        <v>1973680</v>
      </c>
      <c r="E36" s="8">
        <v>20161717.5</v>
      </c>
      <c r="F36" s="8">
        <v>21533717.5</v>
      </c>
      <c r="G36" s="8">
        <v>22561570</v>
      </c>
      <c r="H36" s="8">
        <v>24697370</v>
      </c>
      <c r="I36" s="8">
        <v>25891120</v>
      </c>
      <c r="J36" s="8">
        <v>26679170</v>
      </c>
      <c r="K36" s="8">
        <v>28932420</v>
      </c>
      <c r="L36" s="8">
        <f>VLOOKUP(A36,[1]CBS!$A:$T,20,FALSE)</f>
        <v>32981520</v>
      </c>
      <c r="M36" s="8">
        <v>34562470</v>
      </c>
      <c r="N36" s="8">
        <v>35798220</v>
      </c>
      <c r="O36" s="8">
        <v>35798220</v>
      </c>
    </row>
    <row r="37" spans="1:15" x14ac:dyDescent="0.3">
      <c r="A37" s="6">
        <v>560100100</v>
      </c>
      <c r="B37" s="7" t="s">
        <v>15</v>
      </c>
      <c r="C37" s="8">
        <v>988727</v>
      </c>
      <c r="D37" s="8">
        <v>1805827</v>
      </c>
      <c r="E37" s="8">
        <v>3091427</v>
      </c>
      <c r="F37" s="8">
        <v>4458927</v>
      </c>
      <c r="G37" s="8">
        <v>5397027</v>
      </c>
      <c r="H37" s="8">
        <v>6915427</v>
      </c>
      <c r="I37" s="8">
        <v>8692377</v>
      </c>
      <c r="J37" s="8">
        <v>10178677</v>
      </c>
      <c r="K37" s="8">
        <v>11652177</v>
      </c>
      <c r="L37" s="8">
        <f>VLOOKUP(A37,[1]CBS!$A:$T,20,FALSE)</f>
        <v>13467289.5</v>
      </c>
      <c r="M37" s="8">
        <v>15031489.5</v>
      </c>
      <c r="N37" s="8">
        <v>15844189.5</v>
      </c>
      <c r="O37" s="8">
        <v>15844189.5</v>
      </c>
    </row>
    <row r="38" spans="1:15" x14ac:dyDescent="0.3">
      <c r="A38" s="6">
        <v>560100110</v>
      </c>
      <c r="B38" s="7" t="s">
        <v>11</v>
      </c>
      <c r="C38" s="8">
        <v>1038612.5</v>
      </c>
      <c r="D38" s="8">
        <v>1119437.5</v>
      </c>
      <c r="E38" s="8">
        <v>2130062.5</v>
      </c>
      <c r="F38" s="8">
        <v>2621612.5</v>
      </c>
      <c r="G38" s="8">
        <v>4082912.5</v>
      </c>
      <c r="H38" s="8">
        <v>5957650</v>
      </c>
      <c r="I38" s="8">
        <v>7339987.5099999998</v>
      </c>
      <c r="J38" s="8">
        <v>7419637.5099999998</v>
      </c>
      <c r="K38" s="8">
        <v>8678750.0099999998</v>
      </c>
      <c r="L38" s="8">
        <f>VLOOKUP(A38,[1]CBS!$A:$T,20,FALSE)</f>
        <v>9275187.5099999998</v>
      </c>
      <c r="M38" s="8">
        <v>10935312.51</v>
      </c>
      <c r="N38" s="8">
        <v>11935987.51</v>
      </c>
      <c r="O38" s="8">
        <v>11935987.51</v>
      </c>
    </row>
    <row r="39" spans="1:15" x14ac:dyDescent="0.3">
      <c r="A39" s="6">
        <v>560100120</v>
      </c>
      <c r="B39" s="7" t="s">
        <v>9</v>
      </c>
      <c r="C39" s="8">
        <v>1099375</v>
      </c>
      <c r="D39" s="8">
        <v>1119375</v>
      </c>
      <c r="E39" s="8">
        <v>1164375</v>
      </c>
      <c r="F39" s="8">
        <v>2340250</v>
      </c>
      <c r="G39" s="8">
        <v>2340250</v>
      </c>
      <c r="H39" s="8">
        <v>2588450</v>
      </c>
      <c r="I39" s="8">
        <v>3689825</v>
      </c>
      <c r="J39" s="8">
        <v>3717325</v>
      </c>
      <c r="K39" s="8">
        <v>3859325</v>
      </c>
      <c r="L39" s="8">
        <f>VLOOKUP(A39,[1]CBS!$A:$T,20,FALSE)</f>
        <v>3951325</v>
      </c>
      <c r="M39" s="8">
        <v>4437680</v>
      </c>
      <c r="N39" s="8">
        <v>4437680</v>
      </c>
      <c r="O39" s="8">
        <v>4437680</v>
      </c>
    </row>
    <row r="40" spans="1:15" x14ac:dyDescent="0.3">
      <c r="A40" s="6">
        <v>560120040</v>
      </c>
      <c r="B40" s="7" t="s">
        <v>29</v>
      </c>
      <c r="C40" s="8">
        <v>32646416.41</v>
      </c>
      <c r="D40" s="8">
        <v>60868884.780000001</v>
      </c>
      <c r="E40" s="8">
        <v>92460422.120000005</v>
      </c>
      <c r="F40" s="8">
        <v>122121962.75</v>
      </c>
      <c r="G40" s="8">
        <v>154632979.28</v>
      </c>
      <c r="H40" s="8">
        <v>183992950.84999999</v>
      </c>
      <c r="I40" s="8">
        <v>216511388.61000001</v>
      </c>
      <c r="J40" s="8">
        <v>252254552.22</v>
      </c>
      <c r="K40" s="8">
        <v>281076428.41000003</v>
      </c>
      <c r="L40" s="8">
        <f>VLOOKUP(A40,[1]CBS!$A:$T,20,FALSE)</f>
        <v>327276353.81999999</v>
      </c>
      <c r="M40" s="8">
        <v>360193644.26999998</v>
      </c>
      <c r="N40" s="8">
        <v>403898773.25</v>
      </c>
      <c r="O40" s="8">
        <v>403898773.25</v>
      </c>
    </row>
    <row r="41" spans="1:15" x14ac:dyDescent="0.3">
      <c r="A41" s="6">
        <v>560120050</v>
      </c>
      <c r="B41" s="7" t="s">
        <v>30</v>
      </c>
      <c r="C41" s="8">
        <v>495300</v>
      </c>
      <c r="D41" s="8">
        <v>1288050</v>
      </c>
      <c r="E41" s="8">
        <v>2269250</v>
      </c>
      <c r="F41" s="8">
        <v>3638150</v>
      </c>
      <c r="G41" s="8">
        <v>5815616</v>
      </c>
      <c r="H41" s="8">
        <v>7162016</v>
      </c>
      <c r="I41" s="8">
        <v>8500616</v>
      </c>
      <c r="J41" s="8">
        <v>9658296</v>
      </c>
      <c r="K41" s="8">
        <v>10842446</v>
      </c>
      <c r="L41" s="8">
        <f>VLOOKUP(A41,[1]CBS!$A:$T,20,FALSE)</f>
        <v>12017186</v>
      </c>
      <c r="M41" s="8">
        <v>12728836</v>
      </c>
      <c r="N41" s="8">
        <v>13773686</v>
      </c>
      <c r="O41" s="8">
        <v>13773686</v>
      </c>
    </row>
    <row r="42" spans="1:15" x14ac:dyDescent="0.3">
      <c r="A42" s="6">
        <v>560120140</v>
      </c>
      <c r="B42" s="7" t="s">
        <v>31</v>
      </c>
      <c r="C42" s="8">
        <v>212820</v>
      </c>
      <c r="D42" s="8">
        <v>379760</v>
      </c>
      <c r="E42" s="8">
        <v>619743</v>
      </c>
      <c r="F42" s="8">
        <v>1020572</v>
      </c>
      <c r="G42" s="8">
        <v>1313232</v>
      </c>
      <c r="H42" s="8">
        <v>1769199.5</v>
      </c>
      <c r="I42" s="8">
        <v>2020989.5</v>
      </c>
      <c r="J42" s="8">
        <v>2480959.5</v>
      </c>
      <c r="K42" s="8">
        <v>2828939.5</v>
      </c>
      <c r="L42" s="8">
        <f>VLOOKUP(A42,[1]CBS!$A:$T,20,FALSE)</f>
        <v>3141139.5</v>
      </c>
      <c r="M42" s="8">
        <v>3486344.5</v>
      </c>
      <c r="N42" s="8">
        <v>3622064.5</v>
      </c>
      <c r="O42" s="8">
        <v>3622064.5</v>
      </c>
    </row>
    <row r="43" spans="1:15" x14ac:dyDescent="0.3">
      <c r="A43" s="6">
        <v>560120190</v>
      </c>
      <c r="B43" s="7" t="s">
        <v>28</v>
      </c>
      <c r="C43" s="8">
        <v>203500</v>
      </c>
      <c r="D43" s="8">
        <v>203500</v>
      </c>
      <c r="E43" s="8">
        <v>562983.75</v>
      </c>
      <c r="F43" s="8">
        <v>944180</v>
      </c>
      <c r="G43" s="8">
        <v>1323925</v>
      </c>
      <c r="H43" s="8">
        <v>1323925</v>
      </c>
      <c r="I43" s="8">
        <v>1323925</v>
      </c>
      <c r="J43" s="8">
        <v>1323925</v>
      </c>
      <c r="K43" s="8">
        <v>1331925</v>
      </c>
      <c r="L43" s="8">
        <f>VLOOKUP(A43,[1]CBS!$A:$T,20,FALSE)</f>
        <v>1331925</v>
      </c>
      <c r="M43" s="8">
        <v>1331925</v>
      </c>
      <c r="N43" s="8">
        <v>1331925</v>
      </c>
      <c r="O43" s="8">
        <v>1331925</v>
      </c>
    </row>
    <row r="44" spans="1:15" x14ac:dyDescent="0.3">
      <c r="A44" s="6">
        <v>560120170</v>
      </c>
      <c r="B44" s="7" t="s">
        <v>23</v>
      </c>
      <c r="C44" s="8">
        <v>146436285.13</v>
      </c>
      <c r="D44" s="8">
        <v>289776310.83999997</v>
      </c>
      <c r="E44" s="8">
        <v>433357496.57999998</v>
      </c>
      <c r="F44" s="8">
        <v>579238816.75999999</v>
      </c>
      <c r="G44" s="8">
        <v>729076070.38</v>
      </c>
      <c r="H44" s="8">
        <v>870867530.55999994</v>
      </c>
      <c r="I44" s="8">
        <v>1021165939.67</v>
      </c>
      <c r="J44" s="8">
        <v>1161186428.4400001</v>
      </c>
      <c r="K44" s="8">
        <v>1310940935.8800001</v>
      </c>
      <c r="L44" s="8">
        <f>VLOOKUP(A44,[1]CBS!$A:$T,20,FALSE)</f>
        <v>1483548251.3399999</v>
      </c>
      <c r="M44" s="8">
        <v>1626173498.03</v>
      </c>
      <c r="N44" s="8">
        <v>1797442076.6099999</v>
      </c>
      <c r="O44" s="8">
        <v>1797442076.6099999</v>
      </c>
    </row>
    <row r="45" spans="1:15" x14ac:dyDescent="0.3">
      <c r="A45" s="6">
        <v>560120230</v>
      </c>
      <c r="B45" s="7" t="s">
        <v>21</v>
      </c>
      <c r="C45" s="8">
        <v>0</v>
      </c>
      <c r="D45" s="8">
        <v>0</v>
      </c>
      <c r="E45" s="8">
        <v>483750</v>
      </c>
      <c r="F45" s="8">
        <v>483750</v>
      </c>
      <c r="G45" s="8">
        <v>483750</v>
      </c>
      <c r="H45" s="8">
        <v>483750</v>
      </c>
      <c r="I45" s="8">
        <v>483750</v>
      </c>
      <c r="J45" s="8">
        <v>483750</v>
      </c>
      <c r="K45" s="8">
        <v>483750</v>
      </c>
      <c r="L45" s="8">
        <f>VLOOKUP(A45,[1]CBS!$A:$T,20,FALSE)</f>
        <v>483750</v>
      </c>
      <c r="M45" s="8">
        <v>483750</v>
      </c>
      <c r="N45" s="8">
        <v>483750</v>
      </c>
      <c r="O45" s="8">
        <v>483750</v>
      </c>
    </row>
    <row r="46" spans="1:15" x14ac:dyDescent="0.3">
      <c r="A46" s="6">
        <v>560120240</v>
      </c>
      <c r="B46" s="7" t="s">
        <v>13</v>
      </c>
      <c r="C46" s="8">
        <v>35898365.359999999</v>
      </c>
      <c r="D46" s="8">
        <v>86092774.359999999</v>
      </c>
      <c r="E46" s="8">
        <v>144946008.55000001</v>
      </c>
      <c r="F46" s="8">
        <v>189343456.84999999</v>
      </c>
      <c r="G46" s="8">
        <v>238919751.75</v>
      </c>
      <c r="H46" s="8">
        <v>285080952.75</v>
      </c>
      <c r="I46" s="8">
        <v>339343537.73000002</v>
      </c>
      <c r="J46" s="8">
        <v>395622599.23000002</v>
      </c>
      <c r="K46" s="8">
        <v>450231622.23000002</v>
      </c>
      <c r="L46" s="8">
        <f>VLOOKUP(A46,[1]CBS!$A:$T,20,FALSE)</f>
        <v>511814899.13</v>
      </c>
      <c r="M46" s="8">
        <v>564427916.63999999</v>
      </c>
      <c r="N46" s="8">
        <v>620704741.63999999</v>
      </c>
      <c r="O46" s="8">
        <v>620704741.63999999</v>
      </c>
    </row>
    <row r="47" spans="1:15" x14ac:dyDescent="0.3">
      <c r="A47" s="6">
        <v>560120250</v>
      </c>
      <c r="B47" s="7" t="s">
        <v>14</v>
      </c>
      <c r="C47" s="8">
        <v>474106</v>
      </c>
      <c r="D47" s="8">
        <v>742781</v>
      </c>
      <c r="E47" s="8">
        <v>1068291</v>
      </c>
      <c r="F47" s="8">
        <v>1216691</v>
      </c>
      <c r="G47" s="8">
        <v>1728891</v>
      </c>
      <c r="H47" s="8">
        <v>2566741</v>
      </c>
      <c r="I47" s="8">
        <v>3277141</v>
      </c>
      <c r="J47" s="8">
        <v>4387181</v>
      </c>
      <c r="K47" s="8">
        <v>4919411</v>
      </c>
      <c r="L47" s="8">
        <f>VLOOKUP(A47,[1]CBS!$A:$T,20,FALSE)</f>
        <v>5771911</v>
      </c>
      <c r="M47" s="8">
        <v>6383591</v>
      </c>
      <c r="N47" s="8">
        <v>6894091</v>
      </c>
      <c r="O47" s="8">
        <v>6894091</v>
      </c>
    </row>
    <row r="48" spans="1:15" x14ac:dyDescent="0.3">
      <c r="A48" s="6">
        <v>560120390</v>
      </c>
      <c r="B48" s="7" t="s">
        <v>63</v>
      </c>
      <c r="C48" s="8">
        <v>0</v>
      </c>
      <c r="D48" s="8">
        <v>25398973</v>
      </c>
      <c r="E48" s="8">
        <v>47137694</v>
      </c>
      <c r="F48" s="8">
        <v>49095838</v>
      </c>
      <c r="G48" s="8">
        <v>83229530</v>
      </c>
      <c r="H48" s="8">
        <v>103907296</v>
      </c>
      <c r="I48" s="8">
        <v>122532482</v>
      </c>
      <c r="J48" s="8">
        <v>145061998</v>
      </c>
      <c r="K48" s="8">
        <v>157215583.97999999</v>
      </c>
      <c r="L48" s="8">
        <f>VLOOKUP(A48,[1]CBS!$A:$T,20,FALSE)</f>
        <v>192382938.97999999</v>
      </c>
      <c r="M48" s="8">
        <v>198118238.97999999</v>
      </c>
      <c r="N48" s="8">
        <v>188623722.97999999</v>
      </c>
      <c r="O48" s="8">
        <v>188623722.97999999</v>
      </c>
    </row>
    <row r="49" spans="1:15" x14ac:dyDescent="0.3">
      <c r="A49" s="6">
        <v>560120020</v>
      </c>
      <c r="B49" s="7" t="s">
        <v>75</v>
      </c>
      <c r="C49" s="8">
        <v>8323370</v>
      </c>
      <c r="D49" s="8">
        <v>11099610.960000001</v>
      </c>
      <c r="E49" s="8">
        <v>28346401.969999999</v>
      </c>
      <c r="F49" s="8">
        <v>39965760.009999998</v>
      </c>
      <c r="G49" s="8">
        <v>101152776.31</v>
      </c>
      <c r="H49" s="8">
        <v>125486076.31</v>
      </c>
      <c r="I49" s="8">
        <v>153535008.44</v>
      </c>
      <c r="J49" s="8">
        <v>174740333.44</v>
      </c>
      <c r="K49" s="8">
        <v>229434891.56999999</v>
      </c>
      <c r="L49" s="8">
        <f>VLOOKUP(A49,[1]CBS!$A:$T,20,FALSE)</f>
        <v>334422421.56999999</v>
      </c>
      <c r="M49" s="8">
        <v>375201521.25</v>
      </c>
      <c r="N49" s="8">
        <v>408259831.55000001</v>
      </c>
      <c r="O49" s="8">
        <v>408259831.55000001</v>
      </c>
    </row>
    <row r="50" spans="1:15" x14ac:dyDescent="0.3">
      <c r="A50" s="6">
        <v>560120720</v>
      </c>
      <c r="B50" s="7" t="s">
        <v>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f>VLOOKUP(A50,[1]CBS!$A:$T,20,FALSE)</f>
        <v>0</v>
      </c>
      <c r="M50" s="8">
        <v>0</v>
      </c>
      <c r="N50" s="8">
        <v>0</v>
      </c>
      <c r="O50" s="8">
        <v>5000000</v>
      </c>
    </row>
    <row r="51" spans="1:15" x14ac:dyDescent="0.3">
      <c r="A51" s="6">
        <v>560100020</v>
      </c>
      <c r="B51" s="7" t="s">
        <v>10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f>VLOOKUP(A51,[1]CBS!$A:$T,20,FALSE)</f>
        <v>0</v>
      </c>
      <c r="M51" s="8">
        <v>0</v>
      </c>
      <c r="N51" s="8">
        <v>0</v>
      </c>
      <c r="O51" s="8">
        <v>0</v>
      </c>
    </row>
    <row r="52" spans="1:15" x14ac:dyDescent="0.3">
      <c r="A52" s="6">
        <v>560100130</v>
      </c>
      <c r="B52" s="7" t="s">
        <v>62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f>VLOOKUP(A52,[1]CBS!$A:$T,20,FALSE)</f>
        <v>0</v>
      </c>
      <c r="M52" s="8">
        <v>0</v>
      </c>
      <c r="N52" s="8">
        <v>0</v>
      </c>
      <c r="O52" s="8">
        <v>0</v>
      </c>
    </row>
    <row r="53" spans="1:15" x14ac:dyDescent="0.3">
      <c r="A53" s="6">
        <v>560090050</v>
      </c>
      <c r="B53" s="7" t="s">
        <v>65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f>VLOOKUP(A53,[1]CBS!$A:$T,20,FALSE)</f>
        <v>0</v>
      </c>
      <c r="M53" s="8">
        <v>0</v>
      </c>
      <c r="N53" s="8">
        <v>0</v>
      </c>
      <c r="O53" s="8">
        <v>0</v>
      </c>
    </row>
    <row r="54" spans="1:15" x14ac:dyDescent="0.3">
      <c r="A54" s="6">
        <v>560120010</v>
      </c>
      <c r="B54" s="7" t="s">
        <v>27</v>
      </c>
      <c r="C54" s="8">
        <v>0</v>
      </c>
      <c r="D54" s="8">
        <v>0</v>
      </c>
      <c r="E54" s="8">
        <v>17000</v>
      </c>
      <c r="F54" s="8">
        <v>17000</v>
      </c>
      <c r="G54" s="8">
        <v>17000</v>
      </c>
      <c r="H54" s="8">
        <v>57000</v>
      </c>
      <c r="I54" s="8">
        <v>57000</v>
      </c>
      <c r="J54" s="8">
        <v>57000</v>
      </c>
      <c r="K54" s="8">
        <v>66500</v>
      </c>
      <c r="L54" s="8">
        <f>VLOOKUP(A54,[1]CBS!$A:$T,20,FALSE)</f>
        <v>66500</v>
      </c>
      <c r="M54" s="8">
        <v>66500</v>
      </c>
      <c r="N54" s="8">
        <v>81500</v>
      </c>
      <c r="O54" s="8">
        <v>81500</v>
      </c>
    </row>
    <row r="55" spans="1:15" x14ac:dyDescent="0.3">
      <c r="A55" s="6">
        <v>560080060</v>
      </c>
      <c r="B55" s="7" t="s">
        <v>5</v>
      </c>
      <c r="C55" s="8">
        <v>24364228.640000001</v>
      </c>
      <c r="D55" s="8">
        <v>48728457.280000001</v>
      </c>
      <c r="E55" s="8">
        <v>73092685.920000002</v>
      </c>
      <c r="F55" s="8">
        <v>146185371.86000001</v>
      </c>
      <c r="G55" s="8">
        <v>219278057.80000001</v>
      </c>
      <c r="H55" s="8">
        <v>292370743.74000001</v>
      </c>
      <c r="I55" s="8">
        <v>292370743.74000001</v>
      </c>
      <c r="J55" s="8">
        <v>292962396.86000001</v>
      </c>
      <c r="K55" s="8">
        <v>292370743.74000001</v>
      </c>
      <c r="L55" s="8">
        <f>VLOOKUP(A55,[1]CBS!$A:$T,20,FALSE)</f>
        <v>292370743.74000001</v>
      </c>
      <c r="M55" s="8">
        <v>292370743.74000001</v>
      </c>
      <c r="N55" s="8">
        <v>292370743.74000001</v>
      </c>
      <c r="O55" s="8">
        <v>292370743.74000001</v>
      </c>
    </row>
    <row r="56" spans="1:15" x14ac:dyDescent="0.3">
      <c r="A56" s="6">
        <v>560020080</v>
      </c>
      <c r="B56" s="7" t="s">
        <v>42</v>
      </c>
      <c r="C56" s="8">
        <v>22497705</v>
      </c>
      <c r="D56" s="8">
        <v>46627452.68</v>
      </c>
      <c r="E56" s="8">
        <v>49331738.859999999</v>
      </c>
      <c r="F56" s="8">
        <v>113488131.38</v>
      </c>
      <c r="G56" s="8">
        <v>206002421.88</v>
      </c>
      <c r="H56" s="8">
        <v>224257597.88999999</v>
      </c>
      <c r="I56" s="8">
        <v>285244732.06999999</v>
      </c>
      <c r="J56" s="8">
        <v>317441600.25</v>
      </c>
      <c r="K56" s="8">
        <v>323562592.43000001</v>
      </c>
      <c r="L56" s="8">
        <f>VLOOKUP(A56,[1]CBS!$A:$T,20,FALSE)</f>
        <v>344209359.61000001</v>
      </c>
      <c r="M56" s="8">
        <v>414616576.33999997</v>
      </c>
      <c r="N56" s="8">
        <v>516562844.51999998</v>
      </c>
      <c r="O56" s="8">
        <v>516562844.51999998</v>
      </c>
    </row>
    <row r="57" spans="1:15" x14ac:dyDescent="0.3">
      <c r="A57" s="6">
        <v>550020120</v>
      </c>
      <c r="B57" s="7" t="s">
        <v>24</v>
      </c>
      <c r="C57" s="8">
        <v>339250</v>
      </c>
      <c r="D57" s="8">
        <v>738288</v>
      </c>
      <c r="E57" s="8">
        <v>960538</v>
      </c>
      <c r="F57" s="8">
        <v>1186788</v>
      </c>
      <c r="G57" s="8">
        <v>1495288</v>
      </c>
      <c r="H57" s="8">
        <v>1837288</v>
      </c>
      <c r="I57" s="8">
        <v>2307788</v>
      </c>
      <c r="J57" s="8">
        <v>2883788</v>
      </c>
      <c r="K57" s="8">
        <v>3296788</v>
      </c>
      <c r="L57" s="8">
        <f>VLOOKUP(A57,[1]CBS!$A:$T,20,FALSE)</f>
        <v>3930288</v>
      </c>
      <c r="M57" s="8">
        <v>4542888</v>
      </c>
      <c r="N57" s="8">
        <v>4986888</v>
      </c>
      <c r="O57" s="8">
        <v>4986888</v>
      </c>
    </row>
    <row r="58" spans="1:15" x14ac:dyDescent="0.3">
      <c r="A58" s="6">
        <v>560100010</v>
      </c>
      <c r="B58" s="7" t="s">
        <v>56</v>
      </c>
      <c r="C58" s="8">
        <v>4961277.5</v>
      </c>
      <c r="D58" s="8">
        <v>10694982.5</v>
      </c>
      <c r="E58" s="8">
        <v>18440589.5</v>
      </c>
      <c r="F58" s="8">
        <v>24830714.5</v>
      </c>
      <c r="G58" s="8">
        <v>33538379.460000001</v>
      </c>
      <c r="H58" s="8">
        <v>39884321.960000001</v>
      </c>
      <c r="I58" s="8">
        <v>47587285.460000001</v>
      </c>
      <c r="J58" s="8">
        <v>56009592.460000001</v>
      </c>
      <c r="K58" s="8">
        <v>62645311.75</v>
      </c>
      <c r="L58" s="8">
        <f>VLOOKUP(A58,[1]CBS!$A:$T,20,FALSE)</f>
        <v>69654931.75</v>
      </c>
      <c r="M58" s="8">
        <v>74890819.75</v>
      </c>
      <c r="N58" s="8">
        <v>82934136.799999997</v>
      </c>
      <c r="O58" s="8">
        <v>82934136.799999997</v>
      </c>
    </row>
    <row r="59" spans="1:15" ht="15" thickBot="1" x14ac:dyDescent="0.35">
      <c r="A59" s="6">
        <v>560020020</v>
      </c>
      <c r="B59" s="7" t="s">
        <v>17</v>
      </c>
      <c r="C59" s="8">
        <v>4840029</v>
      </c>
      <c r="D59" s="8">
        <v>9659769.5</v>
      </c>
      <c r="E59" s="8">
        <v>14294719</v>
      </c>
      <c r="F59" s="8">
        <v>18302297.559999999</v>
      </c>
      <c r="G59" s="8">
        <v>24020276.079999998</v>
      </c>
      <c r="H59" s="8">
        <v>29294046.079999998</v>
      </c>
      <c r="I59" s="8">
        <v>36086909.079999998</v>
      </c>
      <c r="J59" s="8">
        <v>43020797.579999998</v>
      </c>
      <c r="K59" s="8">
        <v>48444854.579999998</v>
      </c>
      <c r="L59" s="8">
        <f>VLOOKUP(A59,[1]CBS!$A:$T,20,FALSE)</f>
        <v>53799451.979999997</v>
      </c>
      <c r="M59" s="8">
        <v>57321049.979999997</v>
      </c>
      <c r="N59" s="8">
        <v>59338487.479999997</v>
      </c>
      <c r="O59" s="8">
        <v>59338487.479999997</v>
      </c>
    </row>
    <row r="60" spans="1:15" ht="16.95" customHeight="1" thickBot="1" x14ac:dyDescent="0.35">
      <c r="A60" s="11"/>
      <c r="B60" s="12"/>
      <c r="C60" s="13">
        <v>865303848.41999984</v>
      </c>
      <c r="D60" s="13">
        <v>2117564061.5799992</v>
      </c>
      <c r="E60" s="13">
        <v>3588954393.5299993</v>
      </c>
      <c r="F60" s="13">
        <v>5065199065.6899996</v>
      </c>
      <c r="G60" s="13">
        <v>6639013464.0800009</v>
      </c>
      <c r="H60" s="13">
        <v>8295009489.9900007</v>
      </c>
      <c r="I60" s="13">
        <v>9687033572.8899975</v>
      </c>
      <c r="J60" s="13">
        <v>10986198451.060001</v>
      </c>
      <c r="K60" s="13">
        <v>12531950683.32</v>
      </c>
      <c r="L60" s="13">
        <f>SUM(L3:L59)</f>
        <v>14070564784.890001</v>
      </c>
      <c r="M60" s="13">
        <v>15518095242.440001</v>
      </c>
      <c r="N60" s="13">
        <v>17259752148.470001</v>
      </c>
      <c r="O60" s="13">
        <v>17259752148.470001</v>
      </c>
    </row>
    <row r="61" spans="1:15" ht="15.6" thickTop="1" thickBot="1" x14ac:dyDescent="0.35">
      <c r="A61" s="11"/>
      <c r="B61" s="12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 ht="34.950000000000003" customHeight="1" thickBot="1" x14ac:dyDescent="0.35">
      <c r="A62" s="24" t="s">
        <v>69</v>
      </c>
      <c r="B62" s="24"/>
      <c r="C62" s="19" t="s">
        <v>70</v>
      </c>
      <c r="D62" s="19" t="s">
        <v>71</v>
      </c>
      <c r="E62" s="19" t="s">
        <v>72</v>
      </c>
      <c r="F62" s="19" t="s">
        <v>73</v>
      </c>
      <c r="G62" s="19" t="s">
        <v>74</v>
      </c>
      <c r="H62" s="19" t="s">
        <v>76</v>
      </c>
      <c r="I62" s="19" t="s">
        <v>77</v>
      </c>
      <c r="J62" s="19" t="s">
        <v>78</v>
      </c>
      <c r="K62" s="19" t="s">
        <v>79</v>
      </c>
      <c r="L62" s="19" t="s">
        <v>80</v>
      </c>
      <c r="M62" s="19" t="s">
        <v>81</v>
      </c>
      <c r="N62" s="19" t="s">
        <v>82</v>
      </c>
      <c r="O62" s="19" t="s">
        <v>82</v>
      </c>
    </row>
    <row r="63" spans="1:15" ht="15" customHeight="1" x14ac:dyDescent="0.3">
      <c r="A63" s="4">
        <v>170010000</v>
      </c>
      <c r="B63" s="5" t="s">
        <v>33</v>
      </c>
      <c r="C63" s="14">
        <v>19688080594.07</v>
      </c>
      <c r="D63" s="14">
        <v>19688080594.07</v>
      </c>
      <c r="E63" s="14">
        <v>19688080594.07</v>
      </c>
      <c r="F63" s="14">
        <v>19688080594.07</v>
      </c>
      <c r="G63" s="14">
        <v>19688080594.07</v>
      </c>
      <c r="H63" s="14">
        <v>19688080594.07</v>
      </c>
      <c r="I63" s="14">
        <v>19688080594.07</v>
      </c>
      <c r="J63" s="14">
        <v>19687974844.07</v>
      </c>
      <c r="K63" s="14">
        <v>24543321240.559998</v>
      </c>
      <c r="L63" s="14">
        <f>VLOOKUP(A63,[1]CBS!$A:$T,20,FALSE)</f>
        <v>19910059580.279999</v>
      </c>
      <c r="M63" s="14">
        <v>24545319665.560001</v>
      </c>
      <c r="N63" s="14">
        <v>19912058005.279999</v>
      </c>
      <c r="O63" s="14">
        <v>19912058005.279999</v>
      </c>
    </row>
    <row r="64" spans="1:15" ht="15" customHeight="1" x14ac:dyDescent="0.3">
      <c r="A64" s="6">
        <v>180010000</v>
      </c>
      <c r="B64" s="7" t="s">
        <v>34</v>
      </c>
      <c r="C64" s="15">
        <v>35187813089.669998</v>
      </c>
      <c r="D64" s="15">
        <v>35187813089.669998</v>
      </c>
      <c r="E64" s="15">
        <v>35194013089.669998</v>
      </c>
      <c r="F64" s="15">
        <v>35194013089.669998</v>
      </c>
      <c r="G64" s="15">
        <v>35194013089.669998</v>
      </c>
      <c r="H64" s="15">
        <v>35229513089.669998</v>
      </c>
      <c r="I64" s="15">
        <v>35229513089.669998</v>
      </c>
      <c r="J64" s="15">
        <v>35230143089.669998</v>
      </c>
      <c r="K64" s="15">
        <v>35303583454.669998</v>
      </c>
      <c r="L64" s="15">
        <f>VLOOKUP(A64,[1]CBS!$A:$T,20,FALSE)</f>
        <v>35255143089.669998</v>
      </c>
      <c r="M64" s="15">
        <v>35308726517.169998</v>
      </c>
      <c r="N64" s="15">
        <v>35255143089.669998</v>
      </c>
      <c r="O64" s="15">
        <v>35255143089.669998</v>
      </c>
    </row>
    <row r="65" spans="1:15" ht="15" customHeight="1" x14ac:dyDescent="0.3">
      <c r="A65" s="6">
        <v>180020000</v>
      </c>
      <c r="B65" s="7" t="s">
        <v>35</v>
      </c>
      <c r="C65" s="15">
        <v>20009236858.25</v>
      </c>
      <c r="D65" s="15">
        <v>20009236858.25</v>
      </c>
      <c r="E65" s="15">
        <v>20009236858.25</v>
      </c>
      <c r="F65" s="15">
        <v>20009236858.25</v>
      </c>
      <c r="G65" s="15">
        <v>20009236858.25</v>
      </c>
      <c r="H65" s="15">
        <v>20009236858.25</v>
      </c>
      <c r="I65" s="15">
        <v>20009236858.25</v>
      </c>
      <c r="J65" s="15">
        <v>20009236858.25</v>
      </c>
      <c r="K65" s="15">
        <v>20012936858.25</v>
      </c>
      <c r="L65" s="15">
        <f>VLOOKUP(A65,[1]CBS!$A:$T,20,FALSE)</f>
        <v>20009236858.25</v>
      </c>
      <c r="M65" s="15">
        <v>20129109282.5</v>
      </c>
      <c r="N65" s="15">
        <v>20171220520</v>
      </c>
      <c r="O65" s="15">
        <v>20171220520</v>
      </c>
    </row>
    <row r="66" spans="1:15" ht="15" customHeight="1" x14ac:dyDescent="0.3">
      <c r="A66" s="6">
        <v>180030000</v>
      </c>
      <c r="B66" s="7" t="s">
        <v>36</v>
      </c>
      <c r="C66" s="15">
        <v>20805675082.68</v>
      </c>
      <c r="D66" s="15">
        <v>20832175809.470001</v>
      </c>
      <c r="E66" s="15">
        <v>21172815477.189999</v>
      </c>
      <c r="F66" s="15">
        <v>21189430175.939999</v>
      </c>
      <c r="G66" s="15">
        <v>21207414675.939999</v>
      </c>
      <c r="H66" s="15">
        <v>21207414675.939999</v>
      </c>
      <c r="I66" s="15">
        <v>21246255181.75</v>
      </c>
      <c r="J66" s="15">
        <v>21527173769.25</v>
      </c>
      <c r="K66" s="15">
        <v>21570899772.130001</v>
      </c>
      <c r="L66" s="15">
        <f>VLOOKUP(A66,[1]CBS!$A:$T,20,FALSE)</f>
        <v>21566941537.130001</v>
      </c>
      <c r="M66" s="15">
        <v>21620473282.119999</v>
      </c>
      <c r="N66" s="15">
        <v>21680210377.200001</v>
      </c>
      <c r="O66" s="15">
        <v>21680210377.200001</v>
      </c>
    </row>
    <row r="67" spans="1:15" ht="15" customHeight="1" x14ac:dyDescent="0.3">
      <c r="A67" s="6">
        <v>180040000</v>
      </c>
      <c r="B67" s="7" t="s">
        <v>37</v>
      </c>
      <c r="C67" s="15">
        <v>3791734652.29</v>
      </c>
      <c r="D67" s="15">
        <v>3791734652.29</v>
      </c>
      <c r="E67" s="15">
        <v>3811964741.6700001</v>
      </c>
      <c r="F67" s="15">
        <v>3821161385.52</v>
      </c>
      <c r="G67" s="15">
        <v>3825280823.02</v>
      </c>
      <c r="H67" s="15">
        <v>3825280823.02</v>
      </c>
      <c r="I67" s="15">
        <v>3841458073.52</v>
      </c>
      <c r="J67" s="15">
        <v>3844907231.02</v>
      </c>
      <c r="K67" s="15">
        <v>3849434441.5</v>
      </c>
      <c r="L67" s="15">
        <f>VLOOKUP(A67,[1]CBS!$A:$T,20,FALSE)</f>
        <v>3849434441.5</v>
      </c>
      <c r="M67" s="15">
        <v>3865275064.3400002</v>
      </c>
      <c r="N67" s="15">
        <v>3897396386.8400002</v>
      </c>
      <c r="O67" s="15">
        <v>3897396386.8400002</v>
      </c>
    </row>
    <row r="68" spans="1:15" ht="15" customHeight="1" x14ac:dyDescent="0.3">
      <c r="A68" s="6">
        <v>180050000</v>
      </c>
      <c r="B68" s="7" t="s">
        <v>38</v>
      </c>
      <c r="C68" s="15">
        <v>360125141.89999998</v>
      </c>
      <c r="D68" s="15">
        <v>360125141.89999998</v>
      </c>
      <c r="E68" s="15">
        <v>360125141.89999998</v>
      </c>
      <c r="F68" s="15">
        <v>360125141.89999998</v>
      </c>
      <c r="G68" s="15">
        <v>360125141.89999998</v>
      </c>
      <c r="H68" s="15">
        <v>360125141.89999998</v>
      </c>
      <c r="I68" s="15">
        <v>360125141.89999998</v>
      </c>
      <c r="J68" s="15">
        <v>360125141.89999998</v>
      </c>
      <c r="K68" s="15">
        <v>360125141.89999998</v>
      </c>
      <c r="L68" s="15">
        <f>VLOOKUP(A68,[1]CBS!$A:$T,20,FALSE)</f>
        <v>360125141.89999998</v>
      </c>
      <c r="M68" s="15">
        <v>360125141.89999998</v>
      </c>
      <c r="N68" s="15">
        <v>360125141.89999998</v>
      </c>
      <c r="O68" s="15">
        <v>360125141.89999998</v>
      </c>
    </row>
    <row r="69" spans="1:15" ht="15" customHeight="1" x14ac:dyDescent="0.3">
      <c r="A69" s="6">
        <v>180060000</v>
      </c>
      <c r="B69" s="7" t="s">
        <v>39</v>
      </c>
      <c r="C69" s="15">
        <v>5981645485.6800003</v>
      </c>
      <c r="D69" s="15">
        <v>5981645485.6800003</v>
      </c>
      <c r="E69" s="15">
        <v>5981645485.6800003</v>
      </c>
      <c r="F69" s="15">
        <v>6023129206.5600004</v>
      </c>
      <c r="G69" s="15">
        <v>6288945950.75</v>
      </c>
      <c r="H69" s="15">
        <v>6734583450.75</v>
      </c>
      <c r="I69" s="15">
        <v>6281713968.9300003</v>
      </c>
      <c r="J69" s="15">
        <v>6281713968.9300003</v>
      </c>
      <c r="K69" s="15">
        <v>7008963968.9300003</v>
      </c>
      <c r="L69" s="15">
        <f>VLOOKUP(A69,[1]CBS!$A:$T,20,FALSE)</f>
        <v>6789373965.6000004</v>
      </c>
      <c r="M69" s="15">
        <v>6692697465.6000004</v>
      </c>
      <c r="N69" s="15">
        <v>6572601615.6000004</v>
      </c>
      <c r="O69" s="15">
        <v>6572601615.6000004</v>
      </c>
    </row>
    <row r="70" spans="1:15" ht="15" customHeight="1" x14ac:dyDescent="0.3">
      <c r="A70" s="6">
        <v>180070000</v>
      </c>
      <c r="B70" s="7" t="s">
        <v>40</v>
      </c>
      <c r="C70" s="15">
        <v>27948032479.709999</v>
      </c>
      <c r="D70" s="15">
        <v>27974706254.709999</v>
      </c>
      <c r="E70" s="15">
        <v>28104755200.18</v>
      </c>
      <c r="F70" s="15">
        <v>31647622397.709999</v>
      </c>
      <c r="G70" s="15">
        <v>31647622397.709999</v>
      </c>
      <c r="H70" s="15">
        <v>31647622397.709999</v>
      </c>
      <c r="I70" s="15">
        <v>31721819638.540001</v>
      </c>
      <c r="J70" s="15">
        <v>31771945342.41</v>
      </c>
      <c r="K70" s="15">
        <v>31777449213.43</v>
      </c>
      <c r="L70" s="15">
        <f>VLOOKUP(A70,[1]CBS!$A:$T,20,FALSE)</f>
        <v>31777449213.43</v>
      </c>
      <c r="M70" s="15">
        <v>31791877523.459999</v>
      </c>
      <c r="N70" s="15">
        <v>31850534709.959999</v>
      </c>
      <c r="O70" s="15">
        <v>31850534709.959999</v>
      </c>
    </row>
    <row r="71" spans="1:15" ht="15" customHeight="1" x14ac:dyDescent="0.3">
      <c r="A71" s="6">
        <v>150010024</v>
      </c>
      <c r="B71" s="7" t="s">
        <v>66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f>VLOOKUP(A71,[1]CBS!$A:$T,20,FALSE)</f>
        <v>0</v>
      </c>
      <c r="M71" s="15">
        <v>0</v>
      </c>
      <c r="N71" s="15">
        <v>0</v>
      </c>
      <c r="O71" s="15">
        <v>0</v>
      </c>
    </row>
    <row r="72" spans="1:15" ht="15" customHeight="1" thickBot="1" x14ac:dyDescent="0.35">
      <c r="A72" s="9">
        <v>150050002</v>
      </c>
      <c r="B72" s="10" t="s">
        <v>41</v>
      </c>
      <c r="C72" s="16">
        <v>3963985346.6399999</v>
      </c>
      <c r="D72" s="16">
        <v>4033487978.0700002</v>
      </c>
      <c r="E72" s="16">
        <v>4499514394.5100002</v>
      </c>
      <c r="F72" s="16">
        <v>899906927.50999999</v>
      </c>
      <c r="G72" s="16">
        <v>771149423.25999999</v>
      </c>
      <c r="H72" s="16">
        <v>893867983.66999996</v>
      </c>
      <c r="I72" s="16">
        <v>1308965083.05</v>
      </c>
      <c r="J72" s="16">
        <v>1103248671.8900001</v>
      </c>
      <c r="K72" s="16">
        <v>422382181.91000003</v>
      </c>
      <c r="L72" s="16">
        <f>VLOOKUP(A72,[1]CBS!$A:$T,20,FALSE)</f>
        <v>91423998.109999999</v>
      </c>
      <c r="M72" s="16">
        <v>89469478</v>
      </c>
      <c r="N72" s="16">
        <v>538776742.84000003</v>
      </c>
      <c r="O72" s="16">
        <v>538776742.84000003</v>
      </c>
    </row>
    <row r="73" spans="1:15" ht="16.95" customHeight="1" thickBot="1" x14ac:dyDescent="0.35">
      <c r="A73" s="11"/>
      <c r="B73" s="12"/>
      <c r="C73" s="13">
        <v>137736328730.88998</v>
      </c>
      <c r="D73" s="13">
        <v>137859005864.10999</v>
      </c>
      <c r="E73" s="13">
        <v>138822150983.12</v>
      </c>
      <c r="F73" s="13">
        <v>138832705777.13</v>
      </c>
      <c r="G73" s="13">
        <v>138991868954.57001</v>
      </c>
      <c r="H73" s="13">
        <v>138991868954.57001</v>
      </c>
      <c r="I73" s="13">
        <v>139687167629.67999</v>
      </c>
      <c r="J73" s="13">
        <v>139816468917.39001</v>
      </c>
      <c r="K73" s="13">
        <v>144849096273.28</v>
      </c>
      <c r="L73" s="13">
        <f>SUM(L63:L72)</f>
        <v>139609187825.87</v>
      </c>
      <c r="M73" s="13">
        <v>144403073420.64999</v>
      </c>
      <c r="N73" s="13">
        <v>140238066589.28998</v>
      </c>
      <c r="O73" s="13">
        <v>140238066589.28998</v>
      </c>
    </row>
    <row r="74" spans="1:15" ht="15" thickTop="1" x14ac:dyDescent="0.3"/>
    <row r="77" spans="1:15" x14ac:dyDescent="0.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</sheetData>
  <mergeCells count="2">
    <mergeCell ref="A2:B2"/>
    <mergeCell ref="A62:B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YTD</vt:lpstr>
      <vt:lpstr>YTD!Print_Area</vt:lpstr>
    </vt:vector>
  </TitlesOfParts>
  <Company>Polaris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 Ogwihi. Otuji</dc:creator>
  <cp:lastModifiedBy>Yusuf O. Kazeem</cp:lastModifiedBy>
  <cp:lastPrinted>2020-08-03T09:17:39Z</cp:lastPrinted>
  <dcterms:created xsi:type="dcterms:W3CDTF">2020-04-02T12:40:10Z</dcterms:created>
  <dcterms:modified xsi:type="dcterms:W3CDTF">2026-03-05T15:01:26Z</dcterms:modified>
</cp:coreProperties>
</file>